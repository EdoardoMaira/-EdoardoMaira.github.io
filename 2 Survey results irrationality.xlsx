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edoardomaira/Desktop/Behavioural/Progetto/"/>
    </mc:Choice>
  </mc:AlternateContent>
  <xr:revisionPtr revIDLastSave="0" documentId="13_ncr:1_{F5359BB9-B6CB-A74A-B495-CEE92AE617AE}" xr6:coauthVersionLast="47" xr6:coauthVersionMax="47" xr10:uidLastSave="{00000000-0000-0000-0000-000000000000}"/>
  <bookViews>
    <workbookView xWindow="0" yWindow="700" windowWidth="34200" windowHeight="21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X3" i="1" l="1"/>
  <c r="BF5"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3" i="1"/>
  <c r="AW4" i="1"/>
  <c r="AW5" i="1"/>
  <c r="AW6" i="1"/>
  <c r="AW7" i="1"/>
  <c r="AW8" i="1"/>
  <c r="AW9" i="1"/>
  <c r="AW10" i="1"/>
  <c r="BB10" i="1" s="1"/>
  <c r="AW11" i="1"/>
  <c r="AW12" i="1"/>
  <c r="AW13" i="1"/>
  <c r="AW14" i="1"/>
  <c r="AW15" i="1"/>
  <c r="AW16" i="1"/>
  <c r="AW17" i="1"/>
  <c r="AW18" i="1"/>
  <c r="BB18" i="1" s="1"/>
  <c r="AW19" i="1"/>
  <c r="AW20" i="1"/>
  <c r="AW21" i="1"/>
  <c r="AW22" i="1"/>
  <c r="AW23" i="1"/>
  <c r="AW24" i="1"/>
  <c r="AW25" i="1"/>
  <c r="AW26" i="1"/>
  <c r="BB26" i="1" s="1"/>
  <c r="AW27" i="1"/>
  <c r="AW28" i="1"/>
  <c r="AW29" i="1"/>
  <c r="AW30" i="1"/>
  <c r="AW31" i="1"/>
  <c r="AW32" i="1"/>
  <c r="AW33" i="1"/>
  <c r="AW34" i="1"/>
  <c r="BB34" i="1" s="1"/>
  <c r="AW35" i="1"/>
  <c r="AW36" i="1"/>
  <c r="AW37" i="1"/>
  <c r="AW38" i="1"/>
  <c r="AW39" i="1"/>
  <c r="AW40" i="1"/>
  <c r="AW41" i="1"/>
  <c r="AW42" i="1"/>
  <c r="BB42" i="1" s="1"/>
  <c r="AW43" i="1"/>
  <c r="AW44" i="1"/>
  <c r="AW45" i="1"/>
  <c r="AW46" i="1"/>
  <c r="AW47" i="1"/>
  <c r="AW48" i="1"/>
  <c r="AW49" i="1"/>
  <c r="AW50" i="1"/>
  <c r="BB50" i="1" s="1"/>
  <c r="AW51" i="1"/>
  <c r="AW52" i="1"/>
  <c r="AW53" i="1"/>
  <c r="AW54" i="1"/>
  <c r="AW55" i="1"/>
  <c r="AW3" i="1"/>
  <c r="AW56" i="1"/>
  <c r="BR2" i="1"/>
  <c r="BS3" i="1"/>
  <c r="BT4" i="1"/>
  <c r="BT5" i="1"/>
  <c r="BT6" i="1"/>
  <c r="BT7" i="1"/>
  <c r="BT8" i="1"/>
  <c r="BT9" i="1"/>
  <c r="BT10" i="1"/>
  <c r="BT11" i="1"/>
  <c r="BT12" i="1"/>
  <c r="BT13" i="1"/>
  <c r="BT14" i="1"/>
  <c r="BT15" i="1"/>
  <c r="BT16" i="1"/>
  <c r="BT17" i="1"/>
  <c r="BT18" i="1"/>
  <c r="BT19" i="1"/>
  <c r="BT20" i="1"/>
  <c r="BT21" i="1"/>
  <c r="BT22" i="1"/>
  <c r="BT23" i="1"/>
  <c r="BT24" i="1"/>
  <c r="BT25" i="1"/>
  <c r="BT26" i="1"/>
  <c r="BT27" i="1"/>
  <c r="BT28" i="1"/>
  <c r="BT29" i="1"/>
  <c r="BT30" i="1"/>
  <c r="BT31" i="1"/>
  <c r="BT32" i="1"/>
  <c r="BT33" i="1"/>
  <c r="BT34" i="1"/>
  <c r="BT35" i="1"/>
  <c r="BT36" i="1"/>
  <c r="BT37" i="1"/>
  <c r="BT38" i="1"/>
  <c r="BT39" i="1"/>
  <c r="BT40" i="1"/>
  <c r="BT41" i="1"/>
  <c r="BT42" i="1"/>
  <c r="BT43" i="1"/>
  <c r="BT44" i="1"/>
  <c r="BT45" i="1"/>
  <c r="BT46" i="1"/>
  <c r="BT47" i="1"/>
  <c r="BT48" i="1"/>
  <c r="BT49" i="1"/>
  <c r="BT50" i="1"/>
  <c r="BT51" i="1"/>
  <c r="BT52" i="1"/>
  <c r="BT53" i="1"/>
  <c r="BT54" i="1"/>
  <c r="BT55" i="1"/>
  <c r="BT2" i="1"/>
  <c r="BW3" i="1"/>
  <c r="BW4" i="1"/>
  <c r="BW5" i="1"/>
  <c r="BW6" i="1"/>
  <c r="BW7" i="1"/>
  <c r="BW8" i="1"/>
  <c r="BW9" i="1"/>
  <c r="BW10" i="1"/>
  <c r="BW11" i="1"/>
  <c r="BW12" i="1"/>
  <c r="BW13" i="1"/>
  <c r="BW14" i="1"/>
  <c r="BW15" i="1"/>
  <c r="BW16" i="1"/>
  <c r="BW17" i="1"/>
  <c r="BW18" i="1"/>
  <c r="BW19" i="1"/>
  <c r="BW20" i="1"/>
  <c r="BW21" i="1"/>
  <c r="BW22" i="1"/>
  <c r="BW23" i="1"/>
  <c r="BW24" i="1"/>
  <c r="BW25" i="1"/>
  <c r="BW26" i="1"/>
  <c r="BW27" i="1"/>
  <c r="BW28" i="1"/>
  <c r="BW29" i="1"/>
  <c r="BW30" i="1"/>
  <c r="BW31" i="1"/>
  <c r="BW32" i="1"/>
  <c r="BW33" i="1"/>
  <c r="BW34" i="1"/>
  <c r="BW35" i="1"/>
  <c r="BW36" i="1"/>
  <c r="BW37" i="1"/>
  <c r="BW38" i="1"/>
  <c r="BW39" i="1"/>
  <c r="BW40" i="1"/>
  <c r="BW41" i="1"/>
  <c r="BW42" i="1"/>
  <c r="BW43" i="1"/>
  <c r="BW44" i="1"/>
  <c r="BW45" i="1"/>
  <c r="BW46" i="1"/>
  <c r="BW47" i="1"/>
  <c r="BW48" i="1"/>
  <c r="BW49" i="1"/>
  <c r="BW50" i="1"/>
  <c r="BW51" i="1"/>
  <c r="BW52" i="1"/>
  <c r="BW53" i="1"/>
  <c r="BW54" i="1"/>
  <c r="BW55" i="1"/>
  <c r="BW2" i="1"/>
  <c r="BZ3" i="1"/>
  <c r="BZ4" i="1"/>
  <c r="BZ5" i="1"/>
  <c r="BZ6" i="1"/>
  <c r="BZ7"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2" i="1"/>
  <c r="BX4" i="1"/>
  <c r="BX5" i="1"/>
  <c r="BX6" i="1"/>
  <c r="BX7" i="1"/>
  <c r="BX8" i="1"/>
  <c r="BX9" i="1"/>
  <c r="BX10" i="1"/>
  <c r="BX11" i="1"/>
  <c r="BX12" i="1"/>
  <c r="BX13" i="1"/>
  <c r="BX16" i="1"/>
  <c r="BX17" i="1"/>
  <c r="BX18" i="1"/>
  <c r="BX20" i="1"/>
  <c r="BX21" i="1"/>
  <c r="BX22" i="1"/>
  <c r="BX23" i="1"/>
  <c r="BX24" i="1"/>
  <c r="BX25" i="1"/>
  <c r="BX26" i="1"/>
  <c r="BX27" i="1"/>
  <c r="BX28" i="1"/>
  <c r="BX29" i="1"/>
  <c r="BX30" i="1"/>
  <c r="BX31" i="1"/>
  <c r="BX32" i="1"/>
  <c r="BX33" i="1"/>
  <c r="BX34" i="1"/>
  <c r="BX35" i="1"/>
  <c r="BX36" i="1"/>
  <c r="BX37" i="1"/>
  <c r="BX38" i="1"/>
  <c r="BX39" i="1"/>
  <c r="BX40" i="1"/>
  <c r="BX41" i="1"/>
  <c r="BX42" i="1"/>
  <c r="BX43" i="1"/>
  <c r="BX44" i="1"/>
  <c r="BX45" i="1"/>
  <c r="BX47" i="1"/>
  <c r="BX48" i="1"/>
  <c r="BX49" i="1"/>
  <c r="BX50" i="1"/>
  <c r="BX51" i="1"/>
  <c r="BX52" i="1"/>
  <c r="BX53" i="1"/>
  <c r="BN8" i="1"/>
  <c r="BS55" i="1"/>
  <c r="BS4" i="1"/>
  <c r="BS5" i="1"/>
  <c r="BS6" i="1"/>
  <c r="BS7" i="1"/>
  <c r="BS8" i="1"/>
  <c r="BS9" i="1"/>
  <c r="BS10" i="1"/>
  <c r="BS11" i="1"/>
  <c r="BS13" i="1"/>
  <c r="BS14" i="1"/>
  <c r="BS15" i="1"/>
  <c r="BS16" i="1"/>
  <c r="BS17" i="1"/>
  <c r="BS18" i="1"/>
  <c r="BS19" i="1"/>
  <c r="BS20" i="1"/>
  <c r="BS22" i="1"/>
  <c r="BS23" i="1"/>
  <c r="BS24" i="1"/>
  <c r="BS25" i="1"/>
  <c r="BS26" i="1"/>
  <c r="BS27" i="1"/>
  <c r="BS28" i="1"/>
  <c r="BS31" i="1"/>
  <c r="BS32" i="1"/>
  <c r="BS34" i="1"/>
  <c r="BS35" i="1"/>
  <c r="BS36" i="1"/>
  <c r="BS37" i="1"/>
  <c r="BS38" i="1"/>
  <c r="BS39" i="1"/>
  <c r="BS42" i="1"/>
  <c r="BS45" i="1"/>
  <c r="BS46" i="1"/>
  <c r="BS47" i="1"/>
  <c r="BS48" i="1"/>
  <c r="BS49" i="1"/>
  <c r="BS50" i="1"/>
  <c r="BS53" i="1"/>
  <c r="BS54" i="1"/>
  <c r="BE2" i="1"/>
  <c r="BI2" i="1" s="1"/>
  <c r="BR3" i="1"/>
  <c r="BR4" i="1"/>
  <c r="BR5" i="1"/>
  <c r="BR6" i="1"/>
  <c r="BR7" i="1"/>
  <c r="BR8" i="1"/>
  <c r="BR9" i="1"/>
  <c r="BR10" i="1"/>
  <c r="BR11" i="1"/>
  <c r="BR12" i="1"/>
  <c r="BR13" i="1"/>
  <c r="BR14" i="1"/>
  <c r="BR15" i="1"/>
  <c r="BR16" i="1"/>
  <c r="BR17" i="1"/>
  <c r="BR18" i="1"/>
  <c r="BR19" i="1"/>
  <c r="BR20" i="1"/>
  <c r="BR21" i="1"/>
  <c r="BR22" i="1"/>
  <c r="BR23" i="1"/>
  <c r="BR24" i="1"/>
  <c r="BR25" i="1"/>
  <c r="BR26" i="1"/>
  <c r="BR27" i="1"/>
  <c r="BR28" i="1"/>
  <c r="BR29" i="1"/>
  <c r="BR30" i="1"/>
  <c r="BR31" i="1"/>
  <c r="BR32" i="1"/>
  <c r="BR33" i="1"/>
  <c r="BR34" i="1"/>
  <c r="BR35" i="1"/>
  <c r="BR36" i="1"/>
  <c r="BR37" i="1"/>
  <c r="BR38" i="1"/>
  <c r="BR39" i="1"/>
  <c r="BR40" i="1"/>
  <c r="BR41" i="1"/>
  <c r="BR42" i="1"/>
  <c r="BR43" i="1"/>
  <c r="BR44" i="1"/>
  <c r="BR45" i="1"/>
  <c r="BR46" i="1"/>
  <c r="BR47" i="1"/>
  <c r="BR48" i="1"/>
  <c r="BR49" i="1"/>
  <c r="BR50" i="1"/>
  <c r="BR51" i="1"/>
  <c r="BR52" i="1"/>
  <c r="BR53" i="1"/>
  <c r="BR54" i="1"/>
  <c r="BR55" i="1"/>
  <c r="BK2" i="1"/>
  <c r="BG3" i="1"/>
  <c r="BK3" i="1" s="1"/>
  <c r="BG4" i="1"/>
  <c r="BK4" i="1" s="1"/>
  <c r="BG5" i="1"/>
  <c r="BK5" i="1" s="1"/>
  <c r="BG6" i="1"/>
  <c r="BK6" i="1" s="1"/>
  <c r="BG7" i="1"/>
  <c r="BK7" i="1" s="1"/>
  <c r="BG8" i="1"/>
  <c r="BK8" i="1" s="1"/>
  <c r="BG9" i="1"/>
  <c r="BK9" i="1" s="1"/>
  <c r="BG10" i="1"/>
  <c r="BK10" i="1" s="1"/>
  <c r="BG11" i="1"/>
  <c r="BK11" i="1" s="1"/>
  <c r="BG12" i="1"/>
  <c r="BK12" i="1" s="1"/>
  <c r="BG13" i="1"/>
  <c r="BK13" i="1" s="1"/>
  <c r="BG14" i="1"/>
  <c r="BK14" i="1" s="1"/>
  <c r="BG15" i="1"/>
  <c r="BK15" i="1" s="1"/>
  <c r="BG16" i="1"/>
  <c r="BK16" i="1" s="1"/>
  <c r="BG17" i="1"/>
  <c r="BK17" i="1" s="1"/>
  <c r="BG18" i="1"/>
  <c r="BK18" i="1" s="1"/>
  <c r="BG19" i="1"/>
  <c r="BK19" i="1" s="1"/>
  <c r="BG20" i="1"/>
  <c r="BK20" i="1" s="1"/>
  <c r="BG21" i="1"/>
  <c r="BK21" i="1" s="1"/>
  <c r="BG22" i="1"/>
  <c r="BK22" i="1" s="1"/>
  <c r="BG23" i="1"/>
  <c r="BK23" i="1" s="1"/>
  <c r="BG24" i="1"/>
  <c r="BK24" i="1" s="1"/>
  <c r="BG25" i="1"/>
  <c r="BK25" i="1" s="1"/>
  <c r="BG26" i="1"/>
  <c r="BK26" i="1" s="1"/>
  <c r="BG27" i="1"/>
  <c r="BK27" i="1" s="1"/>
  <c r="BG28" i="1"/>
  <c r="BK28" i="1" s="1"/>
  <c r="BG29" i="1"/>
  <c r="BK29" i="1" s="1"/>
  <c r="BG30" i="1"/>
  <c r="BK30" i="1" s="1"/>
  <c r="BG31" i="1"/>
  <c r="BK31" i="1" s="1"/>
  <c r="BG32" i="1"/>
  <c r="BK32" i="1" s="1"/>
  <c r="BG33" i="1"/>
  <c r="BK33" i="1" s="1"/>
  <c r="BG34" i="1"/>
  <c r="BK34" i="1" s="1"/>
  <c r="BG35" i="1"/>
  <c r="BK35" i="1" s="1"/>
  <c r="BG36" i="1"/>
  <c r="BK36" i="1" s="1"/>
  <c r="BG37" i="1"/>
  <c r="BK37" i="1" s="1"/>
  <c r="BG38" i="1"/>
  <c r="BK38" i="1" s="1"/>
  <c r="BG39" i="1"/>
  <c r="BK39" i="1" s="1"/>
  <c r="BG40" i="1"/>
  <c r="BK40" i="1" s="1"/>
  <c r="BG41" i="1"/>
  <c r="BK41" i="1" s="1"/>
  <c r="BG42" i="1"/>
  <c r="BK42" i="1" s="1"/>
  <c r="BG43" i="1"/>
  <c r="BK43" i="1" s="1"/>
  <c r="BG44" i="1"/>
  <c r="BK44" i="1" s="1"/>
  <c r="BG45" i="1"/>
  <c r="BK45" i="1" s="1"/>
  <c r="BG46" i="1"/>
  <c r="BK46" i="1" s="1"/>
  <c r="BG47" i="1"/>
  <c r="BK47" i="1" s="1"/>
  <c r="BG48" i="1"/>
  <c r="BK48" i="1" s="1"/>
  <c r="BG49" i="1"/>
  <c r="BK49" i="1" s="1"/>
  <c r="BG50" i="1"/>
  <c r="BK50" i="1" s="1"/>
  <c r="BG51" i="1"/>
  <c r="BK51" i="1" s="1"/>
  <c r="BG52" i="1"/>
  <c r="BK52" i="1" s="1"/>
  <c r="BG53" i="1"/>
  <c r="BK53" i="1" s="1"/>
  <c r="BG54" i="1"/>
  <c r="BK54" i="1" s="1"/>
  <c r="BG55" i="1"/>
  <c r="BK55" i="1" s="1"/>
  <c r="BF3" i="1"/>
  <c r="BJ3" i="1" s="1"/>
  <c r="BF4" i="1"/>
  <c r="BJ4" i="1" s="1"/>
  <c r="BJ5" i="1"/>
  <c r="BF6" i="1"/>
  <c r="BJ6" i="1" s="1"/>
  <c r="BF7" i="1"/>
  <c r="BJ7" i="1" s="1"/>
  <c r="BF8" i="1"/>
  <c r="BJ8" i="1" s="1"/>
  <c r="BF9" i="1"/>
  <c r="BJ9" i="1" s="1"/>
  <c r="BF10" i="1"/>
  <c r="BJ10" i="1" s="1"/>
  <c r="BF11" i="1"/>
  <c r="BJ11" i="1" s="1"/>
  <c r="BF12" i="1"/>
  <c r="BJ12" i="1" s="1"/>
  <c r="BP12" i="1" s="1"/>
  <c r="BF13" i="1"/>
  <c r="BJ13" i="1" s="1"/>
  <c r="BF14" i="1"/>
  <c r="BJ14" i="1" s="1"/>
  <c r="BF15" i="1"/>
  <c r="BJ15" i="1" s="1"/>
  <c r="BF16" i="1"/>
  <c r="BJ16" i="1" s="1"/>
  <c r="BF17" i="1"/>
  <c r="BJ17" i="1" s="1"/>
  <c r="BF18" i="1"/>
  <c r="BJ18" i="1" s="1"/>
  <c r="BF19" i="1"/>
  <c r="BJ19" i="1" s="1"/>
  <c r="BF20" i="1"/>
  <c r="BJ20" i="1" s="1"/>
  <c r="BF21" i="1"/>
  <c r="BJ21" i="1" s="1"/>
  <c r="BF22" i="1"/>
  <c r="BJ22" i="1" s="1"/>
  <c r="BF23" i="1"/>
  <c r="BJ23" i="1" s="1"/>
  <c r="BF24" i="1"/>
  <c r="BJ24" i="1" s="1"/>
  <c r="BF25" i="1"/>
  <c r="BJ25" i="1" s="1"/>
  <c r="BF26" i="1"/>
  <c r="BJ26" i="1" s="1"/>
  <c r="BF27" i="1"/>
  <c r="BJ27" i="1" s="1"/>
  <c r="BF28" i="1"/>
  <c r="BJ28" i="1" s="1"/>
  <c r="BF29" i="1"/>
  <c r="BJ29" i="1" s="1"/>
  <c r="BF30" i="1"/>
  <c r="BJ30" i="1" s="1"/>
  <c r="BF31" i="1"/>
  <c r="BJ31" i="1" s="1"/>
  <c r="BF32" i="1"/>
  <c r="BJ32" i="1" s="1"/>
  <c r="BF33" i="1"/>
  <c r="BJ33" i="1" s="1"/>
  <c r="BF34" i="1"/>
  <c r="BJ34" i="1" s="1"/>
  <c r="BF35" i="1"/>
  <c r="BJ35" i="1" s="1"/>
  <c r="BF36" i="1"/>
  <c r="BJ36" i="1" s="1"/>
  <c r="BF37" i="1"/>
  <c r="BJ37" i="1" s="1"/>
  <c r="BF38" i="1"/>
  <c r="BJ38" i="1" s="1"/>
  <c r="BF39" i="1"/>
  <c r="BJ39" i="1" s="1"/>
  <c r="BF40" i="1"/>
  <c r="BJ40" i="1" s="1"/>
  <c r="BF41" i="1"/>
  <c r="BJ41" i="1" s="1"/>
  <c r="BF42" i="1"/>
  <c r="BJ42" i="1" s="1"/>
  <c r="BF43" i="1"/>
  <c r="BJ43" i="1" s="1"/>
  <c r="BF44" i="1"/>
  <c r="BJ44" i="1" s="1"/>
  <c r="BF45" i="1"/>
  <c r="BJ45" i="1" s="1"/>
  <c r="BF46" i="1"/>
  <c r="BJ46" i="1" s="1"/>
  <c r="BF47" i="1"/>
  <c r="BJ47" i="1" s="1"/>
  <c r="BF48" i="1"/>
  <c r="BJ48" i="1" s="1"/>
  <c r="BF49" i="1"/>
  <c r="BJ49" i="1" s="1"/>
  <c r="BF50" i="1"/>
  <c r="BJ50" i="1" s="1"/>
  <c r="BF51" i="1"/>
  <c r="BJ51" i="1" s="1"/>
  <c r="BF52" i="1"/>
  <c r="BJ52" i="1" s="1"/>
  <c r="BF53" i="1"/>
  <c r="BJ53" i="1" s="1"/>
  <c r="BF54" i="1"/>
  <c r="BJ54" i="1" s="1"/>
  <c r="BF55" i="1"/>
  <c r="BJ55" i="1" s="1"/>
  <c r="BF2" i="1"/>
  <c r="BJ2" i="1" s="1"/>
  <c r="BE4" i="1"/>
  <c r="BI4" i="1" s="1"/>
  <c r="BE3" i="1"/>
  <c r="BI3" i="1" s="1"/>
  <c r="BE5" i="1"/>
  <c r="BI5" i="1" s="1"/>
  <c r="BE6" i="1"/>
  <c r="BI6" i="1" s="1"/>
  <c r="BP6" i="1" s="1"/>
  <c r="BE7" i="1"/>
  <c r="BI7" i="1" s="1"/>
  <c r="BE8" i="1"/>
  <c r="BI8" i="1" s="1"/>
  <c r="BE9" i="1"/>
  <c r="BI9" i="1" s="1"/>
  <c r="BE10" i="1"/>
  <c r="BI10" i="1" s="1"/>
  <c r="BQ10" i="1" s="1"/>
  <c r="BE11" i="1"/>
  <c r="BI11" i="1" s="1"/>
  <c r="BP11" i="1" s="1"/>
  <c r="BE12" i="1"/>
  <c r="BI12" i="1" s="1"/>
  <c r="BE13" i="1"/>
  <c r="BI13" i="1" s="1"/>
  <c r="BE14" i="1"/>
  <c r="BI14" i="1" s="1"/>
  <c r="BP14" i="1" s="1"/>
  <c r="BE15" i="1"/>
  <c r="BI15" i="1" s="1"/>
  <c r="BE16" i="1"/>
  <c r="BI16" i="1" s="1"/>
  <c r="BE17" i="1"/>
  <c r="BI17" i="1" s="1"/>
  <c r="BE18" i="1"/>
  <c r="BI18" i="1" s="1"/>
  <c r="BP18" i="1" s="1"/>
  <c r="BE19" i="1"/>
  <c r="BI19" i="1" s="1"/>
  <c r="BE20" i="1"/>
  <c r="BI20" i="1" s="1"/>
  <c r="BE21" i="1"/>
  <c r="BI21" i="1" s="1"/>
  <c r="BE22" i="1"/>
  <c r="BI22" i="1" s="1"/>
  <c r="BP22" i="1" s="1"/>
  <c r="BE23" i="1"/>
  <c r="BI23" i="1" s="1"/>
  <c r="BE24" i="1"/>
  <c r="BI24" i="1" s="1"/>
  <c r="BE25" i="1"/>
  <c r="BI25" i="1" s="1"/>
  <c r="BE26" i="1"/>
  <c r="BI26" i="1" s="1"/>
  <c r="BP26" i="1" s="1"/>
  <c r="BE27" i="1"/>
  <c r="BI27" i="1" s="1"/>
  <c r="BE28" i="1"/>
  <c r="BI28" i="1" s="1"/>
  <c r="BE29" i="1"/>
  <c r="BI29" i="1" s="1"/>
  <c r="BE30" i="1"/>
  <c r="BI30" i="1" s="1"/>
  <c r="BP30" i="1" s="1"/>
  <c r="BE31" i="1"/>
  <c r="BI31" i="1" s="1"/>
  <c r="BE32" i="1"/>
  <c r="BI32" i="1" s="1"/>
  <c r="BE33" i="1"/>
  <c r="BI33" i="1" s="1"/>
  <c r="BE34" i="1"/>
  <c r="BI34" i="1" s="1"/>
  <c r="BP34" i="1" s="1"/>
  <c r="BE35" i="1"/>
  <c r="BI35" i="1" s="1"/>
  <c r="BE36" i="1"/>
  <c r="BI36" i="1" s="1"/>
  <c r="BE37" i="1"/>
  <c r="BI37" i="1" s="1"/>
  <c r="BE38" i="1"/>
  <c r="BI38" i="1" s="1"/>
  <c r="BP38" i="1" s="1"/>
  <c r="BE39" i="1"/>
  <c r="BI39" i="1" s="1"/>
  <c r="BE40" i="1"/>
  <c r="BI40" i="1" s="1"/>
  <c r="BE41" i="1"/>
  <c r="BI41" i="1" s="1"/>
  <c r="BE42" i="1"/>
  <c r="BI42" i="1" s="1"/>
  <c r="BP42" i="1" s="1"/>
  <c r="BE43" i="1"/>
  <c r="BI43" i="1" s="1"/>
  <c r="BE44" i="1"/>
  <c r="BI44" i="1" s="1"/>
  <c r="BE45" i="1"/>
  <c r="BI45" i="1" s="1"/>
  <c r="BE46" i="1"/>
  <c r="BI46" i="1" s="1"/>
  <c r="BP46" i="1" s="1"/>
  <c r="BE47" i="1"/>
  <c r="BI47" i="1" s="1"/>
  <c r="BE48" i="1"/>
  <c r="BI48" i="1" s="1"/>
  <c r="BE49" i="1"/>
  <c r="BI49" i="1" s="1"/>
  <c r="BE50" i="1"/>
  <c r="BI50" i="1" s="1"/>
  <c r="BP50" i="1" s="1"/>
  <c r="BE51" i="1"/>
  <c r="BI51" i="1" s="1"/>
  <c r="BE52" i="1"/>
  <c r="BI52" i="1" s="1"/>
  <c r="BE53" i="1"/>
  <c r="BI53" i="1" s="1"/>
  <c r="BE54" i="1"/>
  <c r="BI54" i="1" s="1"/>
  <c r="BP54" i="1" s="1"/>
  <c r="BE55" i="1"/>
  <c r="BI55" i="1" s="1"/>
  <c r="BP36" i="1" l="1"/>
  <c r="BP28" i="1"/>
  <c r="BP4" i="1"/>
  <c r="BB5" i="1"/>
  <c r="BQ3" i="1"/>
  <c r="BB52" i="1"/>
  <c r="BB44" i="1"/>
  <c r="BB36" i="1"/>
  <c r="BB28" i="1"/>
  <c r="BB20" i="1"/>
  <c r="BB12" i="1"/>
  <c r="BB4" i="1"/>
  <c r="BQ35" i="1"/>
  <c r="BB51" i="1"/>
  <c r="BB43" i="1"/>
  <c r="BB35" i="1"/>
  <c r="BB27" i="1"/>
  <c r="BB19" i="1"/>
  <c r="BB11" i="1"/>
  <c r="BQ19" i="1"/>
  <c r="BQ27" i="1"/>
  <c r="BP25" i="1"/>
  <c r="BB33" i="1"/>
  <c r="BQ11" i="1"/>
  <c r="BP49" i="1"/>
  <c r="BP9" i="1"/>
  <c r="BB56" i="1"/>
  <c r="BB17" i="1"/>
  <c r="BB3" i="1"/>
  <c r="BB48" i="1"/>
  <c r="BB40" i="1"/>
  <c r="BB32" i="1"/>
  <c r="BB24" i="1"/>
  <c r="BB16" i="1"/>
  <c r="BB8" i="1"/>
  <c r="BB54" i="1"/>
  <c r="BB46" i="1"/>
  <c r="BB38" i="1"/>
  <c r="BB30" i="1"/>
  <c r="BB22" i="1"/>
  <c r="BB14" i="1"/>
  <c r="BQ43" i="1"/>
  <c r="BP33" i="1"/>
  <c r="BB41" i="1"/>
  <c r="BB9" i="1"/>
  <c r="BP55" i="1"/>
  <c r="BP47" i="1"/>
  <c r="BP39" i="1"/>
  <c r="BP31" i="1"/>
  <c r="BP23" i="1"/>
  <c r="BP15" i="1"/>
  <c r="BP7" i="1"/>
  <c r="BB55" i="1"/>
  <c r="BB47" i="1"/>
  <c r="BB39" i="1"/>
  <c r="BB31" i="1"/>
  <c r="BB23" i="1"/>
  <c r="BB15" i="1"/>
  <c r="BB7" i="1"/>
  <c r="BB53" i="1"/>
  <c r="BB45" i="1"/>
  <c r="BB37" i="1"/>
  <c r="BB29" i="1"/>
  <c r="BB21" i="1"/>
  <c r="BB13" i="1"/>
  <c r="BQ51" i="1"/>
  <c r="BP41" i="1"/>
  <c r="BP17" i="1"/>
  <c r="BB49" i="1"/>
  <c r="BB25" i="1"/>
  <c r="BP52" i="1"/>
  <c r="BP20" i="1"/>
  <c r="BP35" i="1"/>
  <c r="BP2" i="1"/>
  <c r="BB6" i="1"/>
  <c r="BP43" i="1"/>
  <c r="BP19" i="1"/>
  <c r="BP48" i="1"/>
  <c r="BQ40" i="1"/>
  <c r="BP32" i="1"/>
  <c r="BP24" i="1"/>
  <c r="BQ16" i="1"/>
  <c r="BP8" i="1"/>
  <c r="BQ33" i="1"/>
  <c r="BQ34" i="1"/>
  <c r="BQ18" i="1"/>
  <c r="BQ49" i="1"/>
  <c r="BQ25" i="1"/>
  <c r="BP53" i="1"/>
  <c r="BP37" i="1"/>
  <c r="BP21" i="1"/>
  <c r="BP13" i="1"/>
  <c r="BP5" i="1"/>
  <c r="BP51" i="1"/>
  <c r="BP10" i="1"/>
  <c r="BQ42" i="1"/>
  <c r="BQ41" i="1"/>
  <c r="BQ17" i="1"/>
  <c r="BP45" i="1"/>
  <c r="BP29" i="1"/>
  <c r="BQ52" i="1"/>
  <c r="BQ44" i="1"/>
  <c r="BQ36" i="1"/>
  <c r="BQ28" i="1"/>
  <c r="BQ20" i="1"/>
  <c r="BQ12" i="1"/>
  <c r="BP27" i="1"/>
  <c r="BQ50" i="1"/>
  <c r="BQ26" i="1"/>
  <c r="BQ4" i="1"/>
  <c r="BP44" i="1"/>
  <c r="BP3" i="1"/>
  <c r="BQ2" i="1"/>
  <c r="BQ9" i="1"/>
  <c r="BQ8" i="1"/>
  <c r="BQ32" i="1"/>
  <c r="BQ55" i="1"/>
  <c r="BQ47" i="1"/>
  <c r="BQ39" i="1"/>
  <c r="BQ31" i="1"/>
  <c r="BQ23" i="1"/>
  <c r="BQ15" i="1"/>
  <c r="BQ7" i="1"/>
  <c r="BQ48" i="1"/>
  <c r="BQ24" i="1"/>
  <c r="BP40" i="1"/>
  <c r="BP16" i="1"/>
  <c r="BQ54" i="1"/>
  <c r="BQ46" i="1"/>
  <c r="BQ38" i="1"/>
  <c r="BQ30" i="1"/>
  <c r="BQ22" i="1"/>
  <c r="BQ14" i="1"/>
  <c r="BQ6" i="1"/>
  <c r="BQ53" i="1"/>
  <c r="BQ45" i="1"/>
  <c r="BQ37" i="1"/>
  <c r="BQ29" i="1"/>
  <c r="BQ21" i="1"/>
  <c r="BQ13" i="1"/>
  <c r="BQ5" i="1"/>
</calcChain>
</file>

<file path=xl/sharedStrings.xml><?xml version="1.0" encoding="utf-8"?>
<sst xmlns="http://schemas.openxmlformats.org/spreadsheetml/2006/main" count="1704" uniqueCount="571">
  <si>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</si>
  <si>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</si>
  <si>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</si>
  <si>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</si>
  <si>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</si>
  <si>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</si>
  <si>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</si>
  <si>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</si>
  <si>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</si>
  <si>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</si>
  <si>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</si>
  <si>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</si>
  <si>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</si>
  <si>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</si>
  <si>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</si>
  <si>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</si>
  <si>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</si>
  <si>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QID80</t>
  </si>
  <si>
    <t>QID81</t>
  </si>
  <si>
    <t>prime</t>
  </si>
  <si>
    <t>Q1_1</t>
  </si>
  <si>
    <t>Q1_2</t>
  </si>
  <si>
    <t>Q1_3</t>
  </si>
  <si>
    <t>Q1_4</t>
  </si>
  <si>
    <t>Q1_5</t>
  </si>
  <si>
    <t>Q2</t>
  </si>
  <si>
    <t>Q3_1</t>
  </si>
  <si>
    <t>Q4_1_1</t>
  </si>
  <si>
    <t>Q4_1_2</t>
  </si>
  <si>
    <t>Q4_1_3</t>
  </si>
  <si>
    <t>Q4_1_4</t>
  </si>
  <si>
    <t>Q5</t>
  </si>
  <si>
    <t>Q6</t>
  </si>
  <si>
    <t>Q7</t>
  </si>
  <si>
    <t>Q8</t>
  </si>
  <si>
    <t>Q9</t>
  </si>
  <si>
    <t>Q10</t>
  </si>
  <si>
    <t>Q11_1</t>
  </si>
  <si>
    <t>Q12_1_1</t>
  </si>
  <si>
    <t>Q12_1_2</t>
  </si>
  <si>
    <t>Q12_1_3</t>
  </si>
  <si>
    <t>Q12_1_4</t>
  </si>
  <si>
    <t>Q12_1_5</t>
  </si>
  <si>
    <t>Q13</t>
  </si>
  <si>
    <t>Q14</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</si>
  <si>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</si>
  <si>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</si>
  <si>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</si>
  <si>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</si>
  <si>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</si>
  <si>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</si>
  <si>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</si>
  <si>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</si>
  <si>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</si>
  <si>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</si>
  <si>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</si>
  <si>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</si>
  <si>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</si>
  <si>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</si>
  <si>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If your answer is not represented above, please specify :</t>
  </si>
  <si>
    <t>In this section, we are interested in understanding general perceptions and beliefs about what may influence individuals’ willingness to take financial risks.
Please indicate how much you agree or disagree with each of the following statements, using the scale below: (1 = Strongly Disagree, 7 = Strongly Agree)
There is no right or wrong answer. - Men and women tend to differ in their willingness to take financial risks.</t>
  </si>
  <si>
    <t>In this section, we are interested in understanding general perceptions and beliefs about what may influence individuals’ willingness to take financial risks.
Please indicate how much you agree or disagree with each of the following statements, using the scale below: (1 = Strongly Disagree, 7 = Strongly Agree)
There is no right or wrong answer. - Younger individuals are generally more willing to take financial risks than older individuals.</t>
  </si>
  <si>
    <t>In this section, we are interested in understanding general perceptions and beliefs about what may influence individuals’ willingness to take financial risks.
Please indicate how much you agree or disagree with each of the following statements, using the scale below: (1 = Strongly Disagree, 7 = Strongly Agree)
There is no right or wrong answer. - I believe investment behavior is similar across genders.</t>
  </si>
  <si>
    <t>In this section, we are interested in understanding general perceptions and beliefs about what may influence individuals’ willingness to take financial risks.
Please indicate how much you agree or disagree with each of the following statements, using the scale below: (1 = Strongly Disagree, 7 = Strongly Agree)
There is no right or wrong answer. - People with higher levels of education are generally more willing to take financial risks than those with lower levels of education.</t>
  </si>
  <si>
    <t>In this section, we are interested in understanding general perceptions and beliefs about what may influence individuals’ willingness to take financial risks.
Please indicate how much you agree or disagree with each of the following statements, using the scale below: (1 = Strongly Disagree, 7 = Strongly Agree)
There is no right or wrong answer. - Differences in risk-taking between genders are mostly due to personality rather than financial knowledge.</t>
  </si>
  <si>
    <t>In this section, we are interested in understanding your financial background and experience with investment decisions.
Do you actively invest in financial markets, such as bonds, mutual funds, ETFs, stocks or cryptocurrencies?</t>
  </si>
  <si>
    <t>How many years of experience do you have investing in financial markets, such as bonds, mutual funds, ETFs, stocks or cryptocurrencies?
For example, if you started investing in cryptocurrencies last year but have been investing in stocks for 10 years, please enter 10. - Years</t>
  </si>
  <si>
    <t>Investment Allocation - Please allocate a percentage (%) to each asset type. - Investment in Savings/fixed deposits</t>
  </si>
  <si>
    <t>Investment Allocation - Please allocate a percentage (%) to each asset type. - Investment in Bonds</t>
  </si>
  <si>
    <t>Investment Allocation - Please allocate a percentage (%) to each asset type. - Investment in Mutual funds/ETFs</t>
  </si>
  <si>
    <t>Investment Allocation - Please allocate a percentage (%) to each asset type. - Investment in Stocks/cryptocurrencies</t>
  </si>
  <si>
    <t>In this section, we are interested in understanding participants’ knowledge and understanding of financial concepts and practices. Please answer based on your own knowledge and judgment, without using external resources such as search engines or AI tools.
Rates &amp; duration: If market yields rise by 1%, which 5-year bond loses more value?</t>
  </si>
  <si>
    <t>If the interest rate falls, what should happen to bond prices?</t>
  </si>
  <si>
    <t>The term premium on long-term bonds compensates investors for</t>
  </si>
  <si>
    <t>Options: If underlying volatility rises, the value of a call option will</t>
  </si>
  <si>
    <t>When the central bank conducts quantitative easing (QE), which one is correct ?</t>
  </si>
  <si>
    <t>In this section, we are interested in understanding participants’ confidence in making financial decisions and judgments.
How many questions do you think you answered correctly in the previous section?</t>
  </si>
  <si>
    <t>Given that the average annual return in the US stock market is 6.5–7.0%, what annual return do you think you could achieve over the next year if you invested in the US stock market? 
If the provided range is not applicable to your situation, kindly select “Not applicable” and enter your response in the text box. - Percentage</t>
  </si>
  <si>
    <t>Investment Allocation - Please allocate a percentage (%) to each asset type. - Others e.g. housing</t>
  </si>
  <si>
    <t>In this section, we are interested in understanding participants’ background information, such as gender, education, and other personal characteristics that may relate to financial decision-making.
What is you gender ?</t>
  </si>
  <si>
    <t>What is you highest education ?
(if you are in second year of Bachelor, you can select Bachelor - second year)</t>
  </si>
  <si>
    <t>45957.988958333335</t>
  </si>
  <si>
    <t>45957.992997685185</t>
  </si>
  <si>
    <t>Survey Preview</t>
  </si>
  <si>
    <t>100.0</t>
  </si>
  <si>
    <t>348.0</t>
  </si>
  <si>
    <t>True</t>
  </si>
  <si>
    <t>45957.99300430556</t>
  </si>
  <si>
    <t>R_23dEhJnaOyeVSCJ</t>
  </si>
  <si>
    <t>55.9741</t>
  </si>
  <si>
    <t>12.0265</t>
  </si>
  <si>
    <t>preview</t>
  </si>
  <si>
    <t>EN</t>
  </si>
  <si>
    <t>Agree</t>
  </si>
  <si>
    <t>Neither agree nor disagree</t>
  </si>
  <si>
    <t>No</t>
  </si>
  <si>
    <t>50.0</t>
  </si>
  <si>
    <t>20.0</t>
  </si>
  <si>
    <t>15.0</t>
  </si>
  <si>
    <t>5-year zero-coupon bond</t>
  </si>
  <si>
    <t>Rise</t>
  </si>
  <si>
    <t>Credit risk</t>
  </si>
  <si>
    <t>Decrease</t>
  </si>
  <si>
    <t>Raises short-term interest rates</t>
  </si>
  <si>
    <t>2</t>
  </si>
  <si>
    <t>Male</t>
  </si>
  <si>
    <t>Bachelor - Graduated</t>
  </si>
  <si>
    <t>40.0</t>
  </si>
  <si>
    <t>Yes</t>
  </si>
  <si>
    <t>45958.238854166666</t>
  </si>
  <si>
    <t>45958.24240740741</t>
  </si>
  <si>
    <t>306.0</t>
  </si>
  <si>
    <t>45958.24241518519</t>
  </si>
  <si>
    <t>R_2sEKQ5Mu77ozhVT</t>
  </si>
  <si>
    <t>45958.26596064815</t>
  </si>
  <si>
    <t>45958.2728587963</t>
  </si>
  <si>
    <t>595.0</t>
  </si>
  <si>
    <t>45958.272867465275</t>
  </si>
  <si>
    <t>R_2x24ujFMA2AkiJ3</t>
  </si>
  <si>
    <t>55.6769</t>
  </si>
  <si>
    <t>12.5268</t>
  </si>
  <si>
    <t>45958.27885416667</t>
  </si>
  <si>
    <t>45958.28494212963</t>
  </si>
  <si>
    <t>526.0</t>
  </si>
  <si>
    <t>45958.284952939815</t>
  </si>
  <si>
    <t>R_8fZBHBdQgJaoRUb</t>
  </si>
  <si>
    <t>55.674</t>
  </si>
  <si>
    <t>12.5696</t>
  </si>
  <si>
    <t>45959.07524305556</t>
  </si>
  <si>
    <t>45959.07739583333</t>
  </si>
  <si>
    <t>186.0</t>
  </si>
  <si>
    <t>45959.07741618055</t>
  </si>
  <si>
    <t>R_2eXoRSC3oNdUfpD</t>
  </si>
  <si>
    <t>Somewhat disagree</t>
  </si>
  <si>
    <t>0.0</t>
  </si>
  <si>
    <t>Cannot determine</t>
  </si>
  <si>
    <t>Stay the same</t>
  </si>
  <si>
    <t>I’m uncertain about this</t>
  </si>
  <si>
    <t>Only change at maturity</t>
  </si>
  <si>
    <t>Tightens reserve requirements</t>
  </si>
  <si>
    <t>9.0</t>
  </si>
  <si>
    <t>Others</t>
  </si>
  <si>
    <t>Bachalor - Second year</t>
  </si>
  <si>
    <t>45959.11724537037</t>
  </si>
  <si>
    <t>45959.117789351854</t>
  </si>
  <si>
    <t>47.0</t>
  </si>
  <si>
    <t>45959.11780755787</t>
  </si>
  <si>
    <t>R_2gZN0Q8g4VSY9ld</t>
  </si>
  <si>
    <t>45961.21986111111</t>
  </si>
  <si>
    <t>45961.22553240741</t>
  </si>
  <si>
    <t>80.208.78.72</t>
  </si>
  <si>
    <t>490.0</t>
  </si>
  <si>
    <t>45961.225539293984</t>
  </si>
  <si>
    <t>R_2Wj8ZH35xb0AIDL</t>
  </si>
  <si>
    <t>55.4467</t>
  </si>
  <si>
    <t>11.8076</t>
  </si>
  <si>
    <t>anonymous</t>
  </si>
  <si>
    <t>45961.35766203704</t>
  </si>
  <si>
    <t>45961.363645833335</t>
  </si>
  <si>
    <t>91.101.41.243</t>
  </si>
  <si>
    <t>517.0</t>
  </si>
  <si>
    <t>45961.36365778935</t>
  </si>
  <si>
    <t>R_2c78g7s5vraQ9Mk</t>
  </si>
  <si>
    <t>55.6534</t>
  </si>
  <si>
    <t>12.4859</t>
  </si>
  <si>
    <t>Strongly agree</t>
  </si>
  <si>
    <t>Strongly disagree</t>
  </si>
  <si>
    <t>Disagree</t>
  </si>
  <si>
    <t>7.0</t>
  </si>
  <si>
    <t>5-year 5% coupon bond</t>
  </si>
  <si>
    <t>Short-term rate volatility and inflation uncertainty</t>
  </si>
  <si>
    <t>Increase</t>
  </si>
  <si>
    <t>Purchases long-term securities to lower yields and stimulate spending</t>
  </si>
  <si>
    <t>4</t>
  </si>
  <si>
    <t>5.0</t>
  </si>
  <si>
    <t>65.0</t>
  </si>
  <si>
    <t>30.0</t>
  </si>
  <si>
    <t>Bachelor - Third year</t>
  </si>
  <si>
    <t>45961.35965277778</t>
  </si>
  <si>
    <t>45961.36525462963</t>
  </si>
  <si>
    <t>62.61.156.67</t>
  </si>
  <si>
    <t>484.0</t>
  </si>
  <si>
    <t>45961.365269166665</t>
  </si>
  <si>
    <t>R_8VvWSDusvNGYrOP</t>
  </si>
  <si>
    <t>55.967</t>
  </si>
  <si>
    <t>11.8706</t>
  </si>
  <si>
    <t>45962.99078703704</t>
  </si>
  <si>
    <t>45962.99633101852</t>
  </si>
  <si>
    <t>58.97.0.217</t>
  </si>
  <si>
    <t>479.0</t>
  </si>
  <si>
    <t>45962.99634268518</t>
  </si>
  <si>
    <t>R_9PziKzbYjfW5Sir</t>
  </si>
  <si>
    <t>13.7749</t>
  </si>
  <si>
    <t>100.5197</t>
  </si>
  <si>
    <t>3.0</t>
  </si>
  <si>
    <t>10.0</t>
  </si>
  <si>
    <t>Default risk</t>
  </si>
  <si>
    <t>3</t>
  </si>
  <si>
    <t>Female</t>
  </si>
  <si>
    <t>Masters - Second year</t>
  </si>
  <si>
    <t>45963.05913194444</t>
  </si>
  <si>
    <t>45963.06505787037</t>
  </si>
  <si>
    <t>49.229.211.40</t>
  </si>
  <si>
    <t>512.0</t>
  </si>
  <si>
    <t>45963.065074907405</t>
  </si>
  <si>
    <t>R_9BX7YRGe4BqNLHh</t>
  </si>
  <si>
    <t>13.7618</t>
  </si>
  <si>
    <t>100.5324</t>
  </si>
  <si>
    <t>45963.53399305556</t>
  </si>
  <si>
    <t>45963.538831018515</t>
  </si>
  <si>
    <t>87.154.98.177</t>
  </si>
  <si>
    <t>417.0</t>
  </si>
  <si>
    <t>45963.53883832176</t>
  </si>
  <si>
    <t>R_82rTPflAifMQVoc</t>
  </si>
  <si>
    <t>51.9055</t>
  </si>
  <si>
    <t>7.6384</t>
  </si>
  <si>
    <t>8.0</t>
  </si>
  <si>
    <t>60.0</t>
  </si>
  <si>
    <t>6.0</t>
  </si>
  <si>
    <t>45963.54798611111</t>
  </si>
  <si>
    <t>45963.55099537037</t>
  </si>
  <si>
    <t>131.212.249.76</t>
  </si>
  <si>
    <t>260.0</t>
  </si>
  <si>
    <t>45963.551005381945</t>
  </si>
  <si>
    <t>R_1j7Ldvs6AlAQFhU</t>
  </si>
  <si>
    <t>44.9764</t>
  </si>
  <si>
    <t>-93.224</t>
  </si>
  <si>
    <t>70.0</t>
  </si>
  <si>
    <t>80.0</t>
  </si>
  <si>
    <t>45963.55297453704</t>
  </si>
  <si>
    <t>45963.564421296294</t>
  </si>
  <si>
    <t>45.139.252.17</t>
  </si>
  <si>
    <t>988.0</t>
  </si>
  <si>
    <t>45963.56442836805</t>
  </si>
  <si>
    <t>R_8gLqfISHChmiARl</t>
  </si>
  <si>
    <t>64.1336</t>
  </si>
  <si>
    <t>-21.8934</t>
  </si>
  <si>
    <t>Somewhat agree</t>
  </si>
  <si>
    <t>45963.586226851854</t>
  </si>
  <si>
    <t>45963.591365740744</t>
  </si>
  <si>
    <t>77.241.136.35</t>
  </si>
  <si>
    <t>443.0</t>
  </si>
  <si>
    <t>45963.59137142361</t>
  </si>
  <si>
    <t>R_8ZHs8YYKENKEg7Z</t>
  </si>
  <si>
    <t>45963.546898148146</t>
  </si>
  <si>
    <t>45964.251388888886</t>
  </si>
  <si>
    <t>173.52.223.161</t>
  </si>
  <si>
    <t>60868.0</t>
  </si>
  <si>
    <t>45964.251403090275</t>
  </si>
  <si>
    <t>R_3PS2HslEKBOaIat</t>
  </si>
  <si>
    <t>40.7597</t>
  </si>
  <si>
    <t>-74.1836</t>
  </si>
  <si>
    <t>45964.3559837963</t>
  </si>
  <si>
    <t>45964.36298611111</t>
  </si>
  <si>
    <t>49.228.33.161</t>
  </si>
  <si>
    <t>605.0</t>
  </si>
  <si>
    <t>45964.36300096065</t>
  </si>
  <si>
    <t>R_4s1nYjNNquxbRYZ</t>
  </si>
  <si>
    <t>13.6687</t>
  </si>
  <si>
    <t>100.579</t>
  </si>
  <si>
    <t>45965.08446759259</t>
  </si>
  <si>
    <t>45965.08950231481</t>
  </si>
  <si>
    <t>80.63.52.14</t>
  </si>
  <si>
    <t>434.0</t>
  </si>
  <si>
    <t>45965.0895140162</t>
  </si>
  <si>
    <t>R_2qaoOIH6KqhO8oo</t>
  </si>
  <si>
    <t>45965.08424768518</t>
  </si>
  <si>
    <t>45965.09011574074</t>
  </si>
  <si>
    <t>130.226.41.17</t>
  </si>
  <si>
    <t>506.0</t>
  </si>
  <si>
    <t>45965.09013104167</t>
  </si>
  <si>
    <t>R_8hhUo0p7EBANi1l</t>
  </si>
  <si>
    <t>5</t>
  </si>
  <si>
    <t>45965.09390046296</t>
  </si>
  <si>
    <t>45965.09991898148</t>
  </si>
  <si>
    <t>37.96.58.154</t>
  </si>
  <si>
    <t>519.0</t>
  </si>
  <si>
    <t>45965.09993549769</t>
  </si>
  <si>
    <t>R_2j3uQOTJduI1w9E</t>
  </si>
  <si>
    <t>55.5563</t>
  </si>
  <si>
    <t>9.717</t>
  </si>
  <si>
    <t>Same</t>
  </si>
  <si>
    <t>45965.348958333336</t>
  </si>
  <si>
    <t>45965.35482638889</t>
  </si>
  <si>
    <t>62.198.207.50</t>
  </si>
  <si>
    <t>45965.354836805556</t>
  </si>
  <si>
    <t>R_82bxoxizdE2oeuZ</t>
  </si>
  <si>
    <t>55.7115</t>
  </si>
  <si>
    <t>12.4884</t>
  </si>
  <si>
    <t>45965.40159722222</t>
  </si>
  <si>
    <t>45965.406319444446</t>
  </si>
  <si>
    <t>91.101.42.119</t>
  </si>
  <si>
    <t>408.0</t>
  </si>
  <si>
    <t>45965.40633496528</t>
  </si>
  <si>
    <t>R_8VBzy53OhS9EgqG</t>
  </si>
  <si>
    <t>45965.4503587963</t>
  </si>
  <si>
    <t>45965.45575231482</t>
  </si>
  <si>
    <t>51.179.111.144</t>
  </si>
  <si>
    <t>465.0</t>
  </si>
  <si>
    <t>45965.45576064815</t>
  </si>
  <si>
    <t>R_2pRnnuT1dwnxNGI</t>
  </si>
  <si>
    <t>40.9269</t>
  </si>
  <si>
    <t>14.308</t>
  </si>
  <si>
    <t>45965.4565162037</t>
  </si>
  <si>
    <t>45965.46399305556</t>
  </si>
  <si>
    <t>78.208.176.121</t>
  </si>
  <si>
    <t>645.0</t>
  </si>
  <si>
    <t>45965.4640028125</t>
  </si>
  <si>
    <t>R_2GVQdkHC6IMuHBe</t>
  </si>
  <si>
    <t>43.1479</t>
  </si>
  <si>
    <t>12.1097</t>
  </si>
  <si>
    <t>45965.47136574074</t>
  </si>
  <si>
    <t>45965.47539351852</t>
  </si>
  <si>
    <t>83.137.6.170</t>
  </si>
  <si>
    <t>45965.47540802084</t>
  </si>
  <si>
    <t>R_8MR3W818X0kq9q7</t>
  </si>
  <si>
    <t>55.6765</t>
  </si>
  <si>
    <t>12.5576</t>
  </si>
  <si>
    <t>45965.48643518519</t>
  </si>
  <si>
    <t>45965.48972222222</t>
  </si>
  <si>
    <t>85.190.238.187</t>
  </si>
  <si>
    <t>284.0</t>
  </si>
  <si>
    <t>45965.489734375</t>
  </si>
  <si>
    <t>R_2a8rv64pvMBbFD6</t>
  </si>
  <si>
    <t>Fall</t>
  </si>
  <si>
    <t>Sells government bonds to reduce liquidity</t>
  </si>
  <si>
    <t>Master - Graduated</t>
  </si>
  <si>
    <t>45965.50184027778</t>
  </si>
  <si>
    <t>45965.507002314815</t>
  </si>
  <si>
    <t>45.94.208.134</t>
  </si>
  <si>
    <t>446.0</t>
  </si>
  <si>
    <t>45965.50701141204</t>
  </si>
  <si>
    <t>R_8YHGmZsiljrbSmJ</t>
  </si>
  <si>
    <t>38.729</t>
  </si>
  <si>
    <t>-9.1551</t>
  </si>
  <si>
    <t>45965.51482638889</t>
  </si>
  <si>
    <t>45965.51967592593</t>
  </si>
  <si>
    <t>151.31.3.144</t>
  </si>
  <si>
    <t>419.0</t>
  </si>
  <si>
    <t>45965.51968950232</t>
  </si>
  <si>
    <t>R_2LjQPjGNfhMgvvh</t>
  </si>
  <si>
    <t>41.8905</t>
  </si>
  <si>
    <t>12.5127</t>
  </si>
  <si>
    <t>45965.526087962964</t>
  </si>
  <si>
    <t>45965.53559027778</t>
  </si>
  <si>
    <t>94.147.138.58</t>
  </si>
  <si>
    <t>821.0</t>
  </si>
  <si>
    <t>45965.53560190972</t>
  </si>
  <si>
    <t>R_8ekAGwaGthSUiPL</t>
  </si>
  <si>
    <t>55.6702</t>
  </si>
  <si>
    <t>12.5298</t>
  </si>
  <si>
    <t>45965.54399305556</t>
  </si>
  <si>
    <t>45965.54934027778</t>
  </si>
  <si>
    <t>85.82.95.176</t>
  </si>
  <si>
    <t>461.0</t>
  </si>
  <si>
    <t>45965.54935</t>
  </si>
  <si>
    <t>R_2mwlNTUfplAsqrZ</t>
  </si>
  <si>
    <t>55.684</t>
  </si>
  <si>
    <t>12.5775</t>
  </si>
  <si>
    <t>45965.61976851852</t>
  </si>
  <si>
    <t>45965.62253472222</t>
  </si>
  <si>
    <t>178.230.57.238</t>
  </si>
  <si>
    <t>238.0</t>
  </si>
  <si>
    <t>45965.622544502316</t>
  </si>
  <si>
    <t>R_8g7uDbycv5VGehi</t>
  </si>
  <si>
    <t>52.3402</t>
  </si>
  <si>
    <t>4.9084</t>
  </si>
  <si>
    <t>0</t>
  </si>
  <si>
    <t>45965.9903125</t>
  </si>
  <si>
    <t>45965.99690972222</t>
  </si>
  <si>
    <t>85.24.113.145</t>
  </si>
  <si>
    <t>570.0</t>
  </si>
  <si>
    <t>45965.99692694444</t>
  </si>
  <si>
    <t>R_8zFN0AnKty5x19B</t>
  </si>
  <si>
    <t>55.6922</t>
  </si>
  <si>
    <t>12.5478</t>
  </si>
  <si>
    <t>45966.1259375</t>
  </si>
  <si>
    <t>45966.134791666664</t>
  </si>
  <si>
    <t>130.226.41.16</t>
  </si>
  <si>
    <t>765.0</t>
  </si>
  <si>
    <t>45966.134802430555</t>
  </si>
  <si>
    <t>R_2mku7seDGL2HoQG</t>
  </si>
  <si>
    <t>qr</t>
  </si>
  <si>
    <t>45966.12590277778</t>
  </si>
  <si>
    <t>45966.14203703704</t>
  </si>
  <si>
    <t>77.241.136.188</t>
  </si>
  <si>
    <t>1393.0</t>
  </si>
  <si>
    <t>45966.14204164352</t>
  </si>
  <si>
    <t>R_8U6kwXc34J8M2Cw</t>
  </si>
  <si>
    <t>45966.142962962964</t>
  </si>
  <si>
    <t>45966.157175925924</t>
  </si>
  <si>
    <t>203.114.71.39</t>
  </si>
  <si>
    <t>1228.0</t>
  </si>
  <si>
    <t>45966.15719003472</t>
  </si>
  <si>
    <t>R_4wEtrwmBtPnTw5Q</t>
  </si>
  <si>
    <t>13.7511</t>
  </si>
  <si>
    <t>100.5049</t>
  </si>
  <si>
    <t>According to CAPM, the expected return would be 6.5-7% since beta of the market is 1. But in reality, the US market is highly volatile, the expected return could range from a loss to a return much higher than average annual return.</t>
  </si>
  <si>
    <t>45966.15430555555</t>
  </si>
  <si>
    <t>45966.157743055555</t>
  </si>
  <si>
    <t>49.237.42.239</t>
  </si>
  <si>
    <t>297.0</t>
  </si>
  <si>
    <t>45966.15774928241</t>
  </si>
  <si>
    <t>R_9Sfy7nHCu4AZ97C</t>
  </si>
  <si>
    <t>45966.16372685185</t>
  </si>
  <si>
    <t>45966.168761574074</t>
  </si>
  <si>
    <t>1.46.30.134</t>
  </si>
  <si>
    <t>435.0</t>
  </si>
  <si>
    <t>45966.168775115744</t>
  </si>
  <si>
    <t>R_4JEKK1RKDFecslq</t>
  </si>
  <si>
    <t>45966.24949074074</t>
  </si>
  <si>
    <t>45966.25399305556</t>
  </si>
  <si>
    <t>86.50.140.226</t>
  </si>
  <si>
    <t>388.0</t>
  </si>
  <si>
    <t>45966.254005104165</t>
  </si>
  <si>
    <t>R_8w6QZoCN9yJwbgR</t>
  </si>
  <si>
    <t>60.1816</t>
  </si>
  <si>
    <t>24.8368</t>
  </si>
  <si>
    <t>45966.28592592593</t>
  </si>
  <si>
    <t>45966.30003472222</t>
  </si>
  <si>
    <t>94.147.42.2</t>
  </si>
  <si>
    <t>1218.0</t>
  </si>
  <si>
    <t>45966.300047349534</t>
  </si>
  <si>
    <t>R_8niOFB49PPhW4AP</t>
  </si>
  <si>
    <t>55.6894</t>
  </si>
  <si>
    <t>12.4578</t>
  </si>
  <si>
    <t>45966.16539351852</t>
  </si>
  <si>
    <t>45966.34260416667</t>
  </si>
  <si>
    <t>130.226.41.19</t>
  </si>
  <si>
    <t>15310.0</t>
  </si>
  <si>
    <t>45966.34261231482</t>
  </si>
  <si>
    <t>R_8HVSIKT5FQj9n4l</t>
  </si>
  <si>
    <t>45966.36555555555</t>
  </si>
  <si>
    <t>45966.37243055556</t>
  </si>
  <si>
    <t>184.22.11.140</t>
  </si>
  <si>
    <t>594.0</t>
  </si>
  <si>
    <t>45966.37244547454</t>
  </si>
  <si>
    <t>R_4J2meNmC6faNaUx</t>
  </si>
  <si>
    <t>13.7101</t>
  </si>
  <si>
    <t>100.4543</t>
  </si>
  <si>
    <t>45966.369479166664</t>
  </si>
  <si>
    <t>91.101.19.217</t>
  </si>
  <si>
    <t>255.0</t>
  </si>
  <si>
    <t>45966.37244568287</t>
  </si>
  <si>
    <t>R_2y9q6z6CKHtQtMJ</t>
  </si>
  <si>
    <t>55.6808</t>
  </si>
  <si>
    <t>12.542</t>
  </si>
  <si>
    <t>45966.36680555555</t>
  </si>
  <si>
    <t>45966.37386574074</t>
  </si>
  <si>
    <t>43.208.233.61</t>
  </si>
  <si>
    <t>609.0</t>
  </si>
  <si>
    <t>45966.37387631944</t>
  </si>
  <si>
    <t>R_9VsY6k46P2ZjZFd</t>
  </si>
  <si>
    <t>13.7499</t>
  </si>
  <si>
    <t>100.517</t>
  </si>
  <si>
    <t>4.0</t>
  </si>
  <si>
    <t>Masters - First year</t>
  </si>
  <si>
    <t>45966.53475694444</t>
  </si>
  <si>
    <t>45966.546261574076</t>
  </si>
  <si>
    <t>82.147.236.110</t>
  </si>
  <si>
    <t>993.0</t>
  </si>
  <si>
    <t>45966.546267129626</t>
  </si>
  <si>
    <t>R_2dSHYkAf1XLny7v</t>
  </si>
  <si>
    <t>55.714</t>
  </si>
  <si>
    <t>12.5259</t>
  </si>
  <si>
    <t>45966.567708333336</t>
  </si>
  <si>
    <t>45966.57104166667</t>
  </si>
  <si>
    <t>37.96.74.202</t>
  </si>
  <si>
    <t>287.0</t>
  </si>
  <si>
    <t>45966.57104900463</t>
  </si>
  <si>
    <t>R_2KxCw4fYFUMt5Co</t>
  </si>
  <si>
    <t>45966.81579861111</t>
  </si>
  <si>
    <t>45966.8202662037</t>
  </si>
  <si>
    <t>124.122.253.158</t>
  </si>
  <si>
    <t>385.0</t>
  </si>
  <si>
    <t>45966.82027806713</t>
  </si>
  <si>
    <t>R_9ZEVxQ1HukSdnbj</t>
  </si>
  <si>
    <t>14.3513</t>
  </si>
  <si>
    <t>100.5815</t>
  </si>
  <si>
    <t>45966.891597222224</t>
  </si>
  <si>
    <t>45966.913877314815</t>
  </si>
  <si>
    <t>49.237.168.100</t>
  </si>
  <si>
    <t>1924.0</t>
  </si>
  <si>
    <t>45966.91388746528</t>
  </si>
  <si>
    <t>R_931gOGwswCTVDaa</t>
  </si>
  <si>
    <t>45967.205034722225</t>
  </si>
  <si>
    <t>45967.21208333333</t>
  </si>
  <si>
    <t>94.191.138.109</t>
  </si>
  <si>
    <t>608.0</t>
  </si>
  <si>
    <t>45967.21208886574</t>
  </si>
  <si>
    <t>R_2ru3RrB87rWdtmK</t>
  </si>
  <si>
    <t>59.3326</t>
  </si>
  <si>
    <t>18.0651</t>
  </si>
  <si>
    <t>45967.30773148148</t>
  </si>
  <si>
    <t>45967.31108796296</t>
  </si>
  <si>
    <t>212.27.16.55</t>
  </si>
  <si>
    <t>290.0</t>
  </si>
  <si>
    <t>45967.311096412035</t>
  </si>
  <si>
    <t>R_2VJKq1LxvC4g2SR</t>
  </si>
  <si>
    <t>45967.37614583333</t>
  </si>
  <si>
    <t>45967.378483796296</t>
  </si>
  <si>
    <t>202.0</t>
  </si>
  <si>
    <t>45967.37850746528</t>
  </si>
  <si>
    <t>R_2I5aXVTympOLVUl</t>
  </si>
  <si>
    <t>45967.395844907405</t>
  </si>
  <si>
    <t>45967.40017361111</t>
  </si>
  <si>
    <t>91.101.19.213</t>
  </si>
  <si>
    <t>373.0</t>
  </si>
  <si>
    <t>45967.400178159725</t>
  </si>
  <si>
    <t>R_2D8azxDGosMtwad</t>
  </si>
  <si>
    <t>45968.09583333333</t>
  </si>
  <si>
    <t>45968.10018518518</t>
  </si>
  <si>
    <t>80.62.117.81</t>
  </si>
  <si>
    <t>376.0</t>
  </si>
  <si>
    <t>45968.10020133102</t>
  </si>
  <si>
    <t>R_8FcJfq2mItLn0B3</t>
  </si>
  <si>
    <t>56.1567</t>
  </si>
  <si>
    <t>10.2153</t>
  </si>
  <si>
    <t>2.0</t>
  </si>
  <si>
    <t>Stays the same</t>
  </si>
  <si>
    <t>45969.39320601852</t>
  </si>
  <si>
    <t>45969.39925925926</t>
  </si>
  <si>
    <t>184.22.54.128</t>
  </si>
  <si>
    <t>523.0</t>
  </si>
  <si>
    <t>45969.399271041664</t>
  </si>
  <si>
    <t>R_9jcBodf3mlU7Kbx</t>
  </si>
  <si>
    <t>13.5341</t>
  </si>
  <si>
    <t>100.286</t>
  </si>
  <si>
    <t>1.0</t>
  </si>
  <si>
    <t>45980.16395833333</t>
  </si>
  <si>
    <t>45980.16722222222</t>
  </si>
  <si>
    <t>89.23.224.54</t>
  </si>
  <si>
    <t>281.0</t>
  </si>
  <si>
    <t>45980.1672312963</t>
  </si>
  <si>
    <t>R_8ZVmnyAIjg6YSje</t>
  </si>
  <si>
    <t>55.6683</t>
  </si>
  <si>
    <t>12.5288</t>
  </si>
  <si>
    <t>Bachalor - First year</t>
  </si>
  <si>
    <t>33.0</t>
  </si>
  <si>
    <t>None of the above</t>
  </si>
  <si>
    <t>Bachelor - Fourth year</t>
  </si>
  <si>
    <t>Doctoral degree - PhD or equivalent</t>
  </si>
  <si>
    <t>18.0</t>
  </si>
  <si>
    <t>1</t>
  </si>
  <si>
    <t>Risky share Act</t>
  </si>
  <si>
    <t>Risky share hyp</t>
  </si>
  <si>
    <t>Educ</t>
  </si>
  <si>
    <t>Belief index (core)</t>
  </si>
  <si>
    <t>Belief index (ext)</t>
  </si>
  <si>
    <t>A1</t>
  </si>
  <si>
    <t>A3</t>
  </si>
  <si>
    <t>A5</t>
  </si>
  <si>
    <t>S(A1)</t>
  </si>
  <si>
    <t>S(A3)</t>
  </si>
  <si>
    <t>S(A5)</t>
  </si>
  <si>
    <t>Weights:</t>
  </si>
  <si>
    <t>Savings</t>
  </si>
  <si>
    <t>Bonds</t>
  </si>
  <si>
    <t>ETF</t>
  </si>
  <si>
    <t>Stocks</t>
  </si>
  <si>
    <t>mean</t>
  </si>
  <si>
    <t>Overcondence</t>
  </si>
  <si>
    <t>Experience</t>
  </si>
  <si>
    <t>Prime</t>
  </si>
  <si>
    <t>Q1</t>
  </si>
  <si>
    <t>Q3</t>
  </si>
  <si>
    <t>Q4</t>
  </si>
  <si>
    <t>Final score</t>
  </si>
  <si>
    <t>How many?</t>
  </si>
  <si>
    <t>Financial lit</t>
  </si>
  <si>
    <t>How many you 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</si>
</sst>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56"/>
  <sheetViews>
    <sheetView tabSelected="1" topLeftCell="BJ1" workbookViewId="0">
      <selection activeCell="BP1" sqref="BP1:BZ1"/>
    </sheetView>
  </sheetViews>
  <sheetFormatPr baseColWidth="10" defaultColWidth="8.83203125" defaultRowHeight="15" x14ac:dyDescent="0.2"/>
  <cols>
    <col min="39" max="39" width="8.83203125" customWidth="1"/>
    <col min="41" max="43" width="9" bestFit="1" customWidth="1"/>
    <col min="55" max="55" width="11.33203125" bestFit="1" customWidth="1"/>
    <col min="56" max="56" width="12.5" bestFit="1" customWidth="1"/>
    <col min="57" max="57" width="12.83203125" bestFit="1" customWidth="1"/>
    <col min="58" max="58" width="15.33203125" bestFit="1" customWidth="1"/>
    <col min="59" max="59" width="14.33203125" bestFit="1" customWidth="1"/>
    <col min="60" max="60" width="14.1640625" bestFit="1" customWidth="1"/>
    <col min="61" max="61" width="12.6640625" bestFit="1" customWidth="1"/>
    <col min="62" max="62" width="12.83203125" bestFit="1" customWidth="1"/>
    <col min="63" max="63" width="15.33203125" bestFit="1" customWidth="1"/>
    <col min="64" max="64" width="14.1640625" bestFit="1" customWidth="1"/>
    <col min="65" max="65" width="7.83203125" bestFit="1" customWidth="1"/>
    <col min="66" max="66" width="7.1640625" bestFit="1" customWidth="1"/>
    <col min="67" max="67" width="14.1640625" bestFit="1" customWidth="1"/>
    <col min="68" max="69" width="14.33203125" bestFit="1" customWidth="1"/>
    <col min="70" max="70" width="12.6640625" bestFit="1" customWidth="1"/>
    <col min="71" max="71" width="12.83203125" bestFit="1" customWidth="1"/>
    <col min="72" max="72" width="6.83203125" bestFit="1" customWidth="1"/>
    <col min="73" max="73" width="10" bestFit="1" customWidth="1"/>
    <col min="74" max="74" width="16" bestFit="1" customWidth="1"/>
    <col min="75" max="75" width="7.5" bestFit="1" customWidth="1"/>
    <col min="76" max="76" width="12.5" bestFit="1" customWidth="1"/>
    <col min="77" max="77" width="9.83203125" bestFit="1" customWidth="1"/>
  </cols>
  <sheetData>
    <row r="1" spans="1:7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BD1" s="2"/>
      <c r="BE1" s="1" t="s">
        <v>549</v>
      </c>
      <c r="BF1" s="1" t="s">
        <v>550</v>
      </c>
      <c r="BG1" s="1" t="s">
        <v>551</v>
      </c>
      <c r="BH1"/>
      <c r="BI1" s="1" t="s">
        <v>552</v>
      </c>
      <c r="BJ1" s="1" t="s">
        <v>553</v>
      </c>
      <c r="BK1" s="1" t="s">
        <v>554</v>
      </c>
      <c r="BL1"/>
      <c r="BP1" s="1" t="s">
        <v>547</v>
      </c>
      <c r="BQ1" s="1" t="s">
        <v>548</v>
      </c>
      <c r="BR1" s="1" t="s">
        <v>544</v>
      </c>
      <c r="BS1" s="1" t="s">
        <v>545</v>
      </c>
      <c r="BT1" s="1" t="s">
        <v>198</v>
      </c>
      <c r="BU1" s="1" t="s">
        <v>569</v>
      </c>
      <c r="BV1" s="1" t="s">
        <v>570</v>
      </c>
      <c r="BW1" s="1" t="s">
        <v>546</v>
      </c>
      <c r="BX1" s="1" t="s">
        <v>561</v>
      </c>
      <c r="BY1" s="1" t="s">
        <v>562</v>
      </c>
      <c r="BZ1" s="1" t="s">
        <v>563</v>
      </c>
    </row>
    <row r="2" spans="1:78" x14ac:dyDescent="0.2">
      <c r="A2" t="s">
        <v>45</v>
      </c>
      <c r="B2" t="s">
        <v>46</v>
      </c>
      <c r="C2" t="s">
        <v>47</v>
      </c>
      <c r="D2" t="s">
        <v>48</v>
      </c>
      <c r="E2" t="s">
        <v>4</v>
      </c>
      <c r="F2" t="s">
        <v>5</v>
      </c>
      <c r="G2" t="s">
        <v>6</v>
      </c>
      <c r="H2" t="s">
        <v>49</v>
      </c>
      <c r="I2" t="s">
        <v>50</v>
      </c>
      <c r="J2" t="s">
        <v>51</v>
      </c>
      <c r="K2" t="s">
        <v>52</v>
      </c>
      <c r="L2" t="s">
        <v>53</v>
      </c>
      <c r="M2" t="s">
        <v>54</v>
      </c>
      <c r="N2" t="s">
        <v>55</v>
      </c>
      <c r="O2" t="s">
        <v>56</v>
      </c>
      <c r="P2" t="s">
        <v>57</v>
      </c>
      <c r="Q2" t="s">
        <v>58</v>
      </c>
      <c r="R2" t="s">
        <v>59</v>
      </c>
      <c r="S2" t="s">
        <v>59</v>
      </c>
      <c r="T2">
        <v>0</v>
      </c>
      <c r="U2" t="s">
        <v>60</v>
      </c>
      <c r="V2" t="s">
        <v>61</v>
      </c>
      <c r="W2" t="s">
        <v>62</v>
      </c>
      <c r="X2" t="s">
        <v>63</v>
      </c>
      <c r="Y2" t="s">
        <v>64</v>
      </c>
      <c r="Z2" t="s">
        <v>65</v>
      </c>
      <c r="AA2" t="s">
        <v>66</v>
      </c>
      <c r="AB2" t="s">
        <v>67</v>
      </c>
      <c r="AC2" t="s">
        <v>68</v>
      </c>
      <c r="AD2" t="s">
        <v>69</v>
      </c>
      <c r="AE2" t="s">
        <v>70</v>
      </c>
      <c r="AF2" t="s">
        <v>71</v>
      </c>
      <c r="AG2" t="s">
        <v>72</v>
      </c>
      <c r="AH2" t="s">
        <v>73</v>
      </c>
      <c r="AI2" t="s">
        <v>74</v>
      </c>
      <c r="AJ2" t="s">
        <v>75</v>
      </c>
      <c r="AK2" t="s">
        <v>76</v>
      </c>
      <c r="AL2" t="s">
        <v>77</v>
      </c>
      <c r="AM2" t="s">
        <v>67</v>
      </c>
      <c r="AN2" t="s">
        <v>68</v>
      </c>
      <c r="AO2" t="s">
        <v>69</v>
      </c>
      <c r="AP2" t="s">
        <v>70</v>
      </c>
      <c r="AQ2" t="s">
        <v>78</v>
      </c>
      <c r="AR2" t="s">
        <v>79</v>
      </c>
      <c r="AS2" t="s">
        <v>80</v>
      </c>
      <c r="AW2" t="s">
        <v>564</v>
      </c>
      <c r="AX2" t="s">
        <v>25</v>
      </c>
      <c r="AY2" t="s">
        <v>565</v>
      </c>
      <c r="AZ2" t="s">
        <v>566</v>
      </c>
      <c r="BA2" t="s">
        <v>31</v>
      </c>
      <c r="BB2" t="s">
        <v>567</v>
      </c>
      <c r="BC2" t="s">
        <v>568</v>
      </c>
      <c r="BD2" s="1"/>
      <c r="BE2">
        <f>MATCH(U3,{"Strongly disagree";"Disagree";"Somewhat disagree";"Neither agree nor disagree";"Somewhat agree";"Agree";"Strongly agree"},0)</f>
        <v>6</v>
      </c>
      <c r="BF2">
        <f>MATCH(W3,{"Strongly disagree";"Disagree";"Somewhat disagree";"Neither agree nor disagree";"Somewhat agree";"Agree";"Strongly agree"},0)</f>
        <v>4</v>
      </c>
      <c r="BG2">
        <v>4</v>
      </c>
      <c r="BI2">
        <f>(BE2-1)/6</f>
        <v>0.83333333333333337</v>
      </c>
      <c r="BJ2">
        <f>(BF2-1)/6</f>
        <v>0.5</v>
      </c>
      <c r="BK2">
        <f>(BG2-1)/6</f>
        <v>0.5</v>
      </c>
      <c r="BM2" t="s">
        <v>555</v>
      </c>
      <c r="BN2" s="3"/>
      <c r="BP2">
        <f>0.5*(BI2+1-BJ2)</f>
        <v>0.66666666666666674</v>
      </c>
      <c r="BQ2">
        <f t="shared" ref="BQ2:BQ33" si="0">1/3*(BI2+1-BJ2+BK2)</f>
        <v>0.61111111111111116</v>
      </c>
      <c r="BR2">
        <f>($BN$3*AB3+AC3*$BN$4+AD3*$BN$5+AE3*$BN$6)/100</f>
        <v>0.36249999999999999</v>
      </c>
      <c r="BT2">
        <f>MATCH(LOWER(CLEAN(TRIM(AR3))),{"male";"female"},0)-1</f>
        <v>0</v>
      </c>
      <c r="BU2">
        <v>2</v>
      </c>
      <c r="BV2">
        <v>2</v>
      </c>
      <c r="BW2">
        <f>CHOOSE(
    MATCH(
        LOWER(CLEAN(TRIM(AS3))),
        {"bachelor - graduated";"bachalor - second year";"bachelor - third year";"masters - second year";"masters - first year";"master - graduated";"bachalor - first year";"bachelor - fourth year";"doctoral degree - phd or equivalent"},
        0
    ),
    16,14,15,18,17,18,13,16,21
)</f>
        <v>16</v>
      </c>
      <c r="BZ2">
        <f>T3</f>
        <v>0</v>
      </c>
    </row>
    <row r="3" spans="1:78" x14ac:dyDescent="0.2">
      <c r="A3" t="s">
        <v>81</v>
      </c>
      <c r="B3" t="s">
        <v>82</v>
      </c>
      <c r="C3" t="s">
        <v>83</v>
      </c>
      <c r="E3" t="s">
        <v>84</v>
      </c>
      <c r="F3" t="s">
        <v>85</v>
      </c>
      <c r="G3" t="s">
        <v>86</v>
      </c>
      <c r="H3" t="s">
        <v>87</v>
      </c>
      <c r="I3" t="s">
        <v>88</v>
      </c>
      <c r="N3" t="s">
        <v>89</v>
      </c>
      <c r="O3" t="s">
        <v>90</v>
      </c>
      <c r="P3" t="s">
        <v>91</v>
      </c>
      <c r="Q3" t="s">
        <v>92</v>
      </c>
      <c r="T3">
        <v>0</v>
      </c>
      <c r="U3" t="s">
        <v>93</v>
      </c>
      <c r="V3" t="s">
        <v>93</v>
      </c>
      <c r="W3" t="s">
        <v>94</v>
      </c>
      <c r="Z3" t="s">
        <v>95</v>
      </c>
      <c r="AB3">
        <v>50</v>
      </c>
      <c r="AC3">
        <v>20</v>
      </c>
      <c r="AD3">
        <v>15</v>
      </c>
      <c r="AE3">
        <v>15</v>
      </c>
      <c r="AF3" t="s">
        <v>99</v>
      </c>
      <c r="AG3" t="s">
        <v>100</v>
      </c>
      <c r="AH3" t="s">
        <v>101</v>
      </c>
      <c r="AI3" t="s">
        <v>102</v>
      </c>
      <c r="AJ3" t="s">
        <v>103</v>
      </c>
      <c r="AK3" t="s">
        <v>104</v>
      </c>
      <c r="AR3" t="s">
        <v>105</v>
      </c>
      <c r="AS3" t="s">
        <v>106</v>
      </c>
      <c r="AW3">
        <f>IF(TRIM(AF3)="5-year zero-coupon bond",1,0)</f>
        <v>1</v>
      </c>
      <c r="AX3">
        <f>IF(TRIM(AG3)="Rise",1,0)</f>
        <v>1</v>
      </c>
      <c r="AY3">
        <f>IF(TRIM(AH3)="Short-term rate volatility and inflation uncertainty",1,0)</f>
        <v>0</v>
      </c>
      <c r="AZ3">
        <f>IF(TRIM(AI3)="Increase",1,0)</f>
        <v>0</v>
      </c>
      <c r="BA3">
        <f>IF(TRIM(AJ3)="Purchases long-term securities to lower yields and stimulate spending",1,0)</f>
        <v>0</v>
      </c>
      <c r="BB3">
        <f>SUM(AW3:BA3)</f>
        <v>2</v>
      </c>
      <c r="BC3" t="s">
        <v>104</v>
      </c>
      <c r="BE3">
        <f>MATCH(U4,{"Strongly disagree";"Disagree";"Somewhat disagree";"Neither agree nor disagree";"Somewhat agree";"Agree";"Strongly agree"},0)</f>
        <v>3</v>
      </c>
      <c r="BF3">
        <f>MATCH(W4,{"Strongly disagree";"Disagree";"Somewhat disagree";"Neither agree nor disagree";"Somewhat agree";"Agree";"Strongly agree"},0)</f>
        <v>4</v>
      </c>
      <c r="BG3">
        <f>MATCH(Y4,{"Strongly disagree";"Disagree";"Somewhat disagree";"Neither agree nor disagree";"Somewhat agree";"Agree";"Strongly agree"},0)</f>
        <v>3</v>
      </c>
      <c r="BI3">
        <f t="shared" ref="BI3:BI55" si="1">(BE3-1)/6</f>
        <v>0.33333333333333331</v>
      </c>
      <c r="BJ3">
        <f t="shared" ref="BJ3:BJ55" si="2">(BF3-1)/6</f>
        <v>0.5</v>
      </c>
      <c r="BK3">
        <f t="shared" ref="BK3:BK55" si="3">(BG3-1)/6</f>
        <v>0.33333333333333331</v>
      </c>
      <c r="BM3" t="s">
        <v>556</v>
      </c>
      <c r="BN3" s="3">
        <v>0</v>
      </c>
      <c r="BP3">
        <f t="shared" ref="BP3:BP33" si="4">0.5*(BI3+1-BJ3)</f>
        <v>0.41666666666666663</v>
      </c>
      <c r="BQ3">
        <f t="shared" si="0"/>
        <v>0.38888888888888884</v>
      </c>
      <c r="BR3">
        <f t="shared" ref="BR3:BR55" si="5">($BN$3*AB4+AC4*$BN$4+AD4*$BN$5+AE4*$BN$6)/100</f>
        <v>0</v>
      </c>
      <c r="BS3">
        <f>($BN$4*AN4+$BN$5*AO4+$BN$6*AP4)/100</f>
        <v>1</v>
      </c>
      <c r="BT3">
        <v>0</v>
      </c>
      <c r="BU3">
        <v>0</v>
      </c>
      <c r="BV3">
        <v>2</v>
      </c>
      <c r="BW3">
        <f>CHOOSE(
    MATCH(
        LOWER(CLEAN(TRIM(AS4))),
        {"bachelor - graduated";"bachalor - second year";"bachelor - third year";"masters - second year";"masters - first year";"master - graduated";"bachalor - first year";"bachelor - fourth year";"doctoral degree - phd or equivalent"},
        0
    ),
    16,14,15,18,17,18,13,16,21
)</f>
        <v>14</v>
      </c>
      <c r="BX3">
        <f>AL4-6.75</f>
        <v>2.25</v>
      </c>
      <c r="BZ3">
        <f t="shared" ref="BZ3:BZ55" si="6">T4</f>
        <v>0</v>
      </c>
    </row>
    <row r="4" spans="1:78" x14ac:dyDescent="0.2">
      <c r="A4" t="s">
        <v>128</v>
      </c>
      <c r="B4" t="s">
        <v>129</v>
      </c>
      <c r="C4" t="s">
        <v>83</v>
      </c>
      <c r="E4" t="s">
        <v>84</v>
      </c>
      <c r="F4" t="s">
        <v>130</v>
      </c>
      <c r="G4" t="s">
        <v>86</v>
      </c>
      <c r="H4" t="s">
        <v>131</v>
      </c>
      <c r="I4" t="s">
        <v>132</v>
      </c>
      <c r="N4" t="s">
        <v>119</v>
      </c>
      <c r="O4" t="s">
        <v>120</v>
      </c>
      <c r="P4" t="s">
        <v>91</v>
      </c>
      <c r="Q4" t="s">
        <v>92</v>
      </c>
      <c r="T4">
        <v>0</v>
      </c>
      <c r="U4" t="s">
        <v>133</v>
      </c>
      <c r="V4" t="s">
        <v>133</v>
      </c>
      <c r="W4" t="s">
        <v>94</v>
      </c>
      <c r="X4" t="s">
        <v>133</v>
      </c>
      <c r="Y4" t="s">
        <v>133</v>
      </c>
      <c r="Z4" t="s">
        <v>108</v>
      </c>
      <c r="AB4">
        <v>100</v>
      </c>
      <c r="AC4">
        <v>0</v>
      </c>
      <c r="AD4">
        <v>0</v>
      </c>
      <c r="AE4">
        <v>0</v>
      </c>
      <c r="AF4" t="s">
        <v>135</v>
      </c>
      <c r="AG4" t="s">
        <v>136</v>
      </c>
      <c r="AH4" t="s">
        <v>137</v>
      </c>
      <c r="AI4" t="s">
        <v>138</v>
      </c>
      <c r="AJ4" t="s">
        <v>139</v>
      </c>
      <c r="AK4" t="s">
        <v>104</v>
      </c>
      <c r="AL4">
        <v>9</v>
      </c>
      <c r="AN4">
        <v>0</v>
      </c>
      <c r="AO4">
        <v>0</v>
      </c>
      <c r="AP4">
        <v>100</v>
      </c>
      <c r="AQ4">
        <v>0</v>
      </c>
      <c r="AR4" t="s">
        <v>141</v>
      </c>
      <c r="AS4" t="s">
        <v>142</v>
      </c>
      <c r="AW4">
        <f t="shared" ref="AW4:AW55" si="7">IF(TRIM(AF4)="5-year zero-coupon bond",1,0)</f>
        <v>0</v>
      </c>
      <c r="AX4">
        <f t="shared" ref="AX4:AX56" si="8">IF(TRIM(AG4)="Rise",1,0)</f>
        <v>0</v>
      </c>
      <c r="AY4">
        <f t="shared" ref="AY4:AY56" si="9">IF(TRIM(AH4)="Short-term rate volatility and inflation uncertainty",1,0)</f>
        <v>0</v>
      </c>
      <c r="AZ4">
        <f t="shared" ref="AZ4:AZ56" si="10">IF(TRIM(AI4)="Increase",1,0)</f>
        <v>0</v>
      </c>
      <c r="BA4">
        <f t="shared" ref="BA4:BA56" si="11">IF(TRIM(AJ4)="Purchases long-term securities to lower yields and stimulate spending",1,0)</f>
        <v>0</v>
      </c>
      <c r="BB4">
        <f>SUM(AW4:BA4)</f>
        <v>0</v>
      </c>
      <c r="BC4" t="s">
        <v>104</v>
      </c>
      <c r="BE4">
        <f>MATCH(U5,{"Strongly disagree";"Disagree";"Somewhat disagree";"Neither agree nor disagree";"Somewhat agree";"Agree";"Strongly agree"},0)</f>
        <v>7</v>
      </c>
      <c r="BF4">
        <f>MATCH(W5,{"Strongly disagree";"Disagree";"Somewhat disagree";"Neither agree nor disagree";"Somewhat agree";"Agree";"Strongly agree"},0)</f>
        <v>1</v>
      </c>
      <c r="BG4">
        <f>MATCH(Y5,{"Strongly disagree";"Disagree";"Somewhat disagree";"Neither agree nor disagree";"Somewhat agree";"Agree";"Strongly agree"},0)</f>
        <v>2</v>
      </c>
      <c r="BI4">
        <f t="shared" si="1"/>
        <v>1</v>
      </c>
      <c r="BJ4">
        <f t="shared" si="2"/>
        <v>0</v>
      </c>
      <c r="BK4">
        <f t="shared" si="3"/>
        <v>0.16666666666666666</v>
      </c>
      <c r="BM4" t="s">
        <v>557</v>
      </c>
      <c r="BN4" s="3">
        <v>0.5</v>
      </c>
      <c r="BP4">
        <f t="shared" si="4"/>
        <v>1</v>
      </c>
      <c r="BQ4">
        <f t="shared" si="0"/>
        <v>0.7222222222222221</v>
      </c>
      <c r="BR4">
        <f t="shared" si="5"/>
        <v>0.7</v>
      </c>
      <c r="BS4">
        <f t="shared" ref="BS4:BS54" si="12">($BN$4*AN5+$BN$5*AO5+$BN$6*AP5)/100</f>
        <v>0.67500000000000004</v>
      </c>
      <c r="BT4">
        <f>MATCH(LOWER(CLEAN(TRIM(AR5))),{"male";"female"},0)-1</f>
        <v>0</v>
      </c>
      <c r="BU4">
        <v>4</v>
      </c>
      <c r="BV4">
        <v>4</v>
      </c>
      <c r="BW4">
        <f>CHOOSE(
    MATCH(
        LOWER(CLEAN(TRIM(AS5))),
        {"bachelor - graduated";"bachalor - second year";"bachelor - third year";"masters - second year";"masters - first year";"master - graduated";"bachalor - first year";"bachelor - fourth year";"doctoral degree - phd or equivalent"},
        0
    ),
    16,14,15,18,17,18,13,16,21
)</f>
        <v>15</v>
      </c>
      <c r="BX4">
        <f t="shared" ref="BX4:BX53" si="13">AL5-6.75</f>
        <v>7.25</v>
      </c>
      <c r="BY4">
        <v>7</v>
      </c>
      <c r="BZ4">
        <f t="shared" si="6"/>
        <v>0</v>
      </c>
    </row>
    <row r="5" spans="1:78" x14ac:dyDescent="0.2">
      <c r="A5" t="s">
        <v>157</v>
      </c>
      <c r="B5" t="s">
        <v>158</v>
      </c>
      <c r="C5" t="s">
        <v>48</v>
      </c>
      <c r="D5" t="s">
        <v>159</v>
      </c>
      <c r="E5" t="s">
        <v>84</v>
      </c>
      <c r="F5" t="s">
        <v>160</v>
      </c>
      <c r="G5" t="s">
        <v>86</v>
      </c>
      <c r="H5" t="s">
        <v>161</v>
      </c>
      <c r="I5" t="s">
        <v>162</v>
      </c>
      <c r="N5" t="s">
        <v>163</v>
      </c>
      <c r="O5" t="s">
        <v>164</v>
      </c>
      <c r="P5" t="s">
        <v>156</v>
      </c>
      <c r="Q5" t="s">
        <v>92</v>
      </c>
      <c r="T5">
        <v>0</v>
      </c>
      <c r="U5" t="s">
        <v>165</v>
      </c>
      <c r="V5" t="s">
        <v>165</v>
      </c>
      <c r="W5" t="s">
        <v>166</v>
      </c>
      <c r="X5" t="s">
        <v>93</v>
      </c>
      <c r="Y5" t="s">
        <v>167</v>
      </c>
      <c r="Z5" t="s">
        <v>108</v>
      </c>
      <c r="AA5" t="s">
        <v>168</v>
      </c>
      <c r="AB5">
        <v>20</v>
      </c>
      <c r="AC5">
        <v>0</v>
      </c>
      <c r="AD5">
        <v>40</v>
      </c>
      <c r="AE5">
        <v>40</v>
      </c>
      <c r="AF5" t="s">
        <v>169</v>
      </c>
      <c r="AG5" t="s">
        <v>100</v>
      </c>
      <c r="AH5" t="s">
        <v>170</v>
      </c>
      <c r="AI5" t="s">
        <v>171</v>
      </c>
      <c r="AJ5" t="s">
        <v>172</v>
      </c>
      <c r="AK5" t="s">
        <v>173</v>
      </c>
      <c r="AL5">
        <v>14</v>
      </c>
      <c r="AM5" t="s">
        <v>174</v>
      </c>
      <c r="AN5">
        <v>5</v>
      </c>
      <c r="AO5">
        <v>0</v>
      </c>
      <c r="AP5">
        <v>65</v>
      </c>
      <c r="AQ5">
        <v>30</v>
      </c>
      <c r="AR5" t="s">
        <v>105</v>
      </c>
      <c r="AS5" t="s">
        <v>177</v>
      </c>
      <c r="AW5">
        <f t="shared" si="7"/>
        <v>0</v>
      </c>
      <c r="AX5">
        <f t="shared" si="8"/>
        <v>1</v>
      </c>
      <c r="AY5">
        <f t="shared" si="9"/>
        <v>1</v>
      </c>
      <c r="AZ5">
        <f t="shared" si="10"/>
        <v>1</v>
      </c>
      <c r="BA5">
        <f t="shared" si="11"/>
        <v>1</v>
      </c>
      <c r="BB5">
        <f>SUM(AW5:BA5)</f>
        <v>4</v>
      </c>
      <c r="BC5" t="s">
        <v>173</v>
      </c>
      <c r="BE5">
        <f>MATCH(U6,{"Strongly disagree";"Disagree";"Somewhat disagree";"Neither agree nor disagree";"Somewhat agree";"Agree";"Strongly agree"},0)</f>
        <v>4</v>
      </c>
      <c r="BF5">
        <f>MATCH(W6,{"Strongly disagree";"Disagree";"Somewhat disagree";"Neither agree nor disagree";"Somewhat agree";"Agree";"Strongly agree"},0)</f>
        <v>6</v>
      </c>
      <c r="BG5">
        <f>MATCH(Y6,{"Strongly disagree";"Disagree";"Somewhat disagree";"Neither agree nor disagree";"Somewhat agree";"Agree";"Strongly agree"},0)</f>
        <v>4</v>
      </c>
      <c r="BI5">
        <f t="shared" si="1"/>
        <v>0.5</v>
      </c>
      <c r="BJ5">
        <f t="shared" si="2"/>
        <v>0.83333333333333337</v>
      </c>
      <c r="BK5">
        <f t="shared" si="3"/>
        <v>0.5</v>
      </c>
      <c r="BM5" t="s">
        <v>558</v>
      </c>
      <c r="BN5" s="3">
        <v>0.75</v>
      </c>
      <c r="BP5">
        <f t="shared" si="4"/>
        <v>0.33333333333333331</v>
      </c>
      <c r="BQ5">
        <f t="shared" si="0"/>
        <v>0.38888888888888884</v>
      </c>
      <c r="BR5">
        <f t="shared" si="5"/>
        <v>0.1</v>
      </c>
      <c r="BS5">
        <f t="shared" si="12"/>
        <v>0.63749999999999996</v>
      </c>
      <c r="BT5">
        <f>MATCH(LOWER(CLEAN(TRIM(AR6))),{"male";"female"},0)-1</f>
        <v>1</v>
      </c>
      <c r="BU5">
        <v>4</v>
      </c>
      <c r="BV5">
        <v>3</v>
      </c>
      <c r="BW5">
        <f>CHOOSE(
    MATCH(
        LOWER(CLEAN(TRIM(AS6))),
        {"bachelor - graduated";"bachalor - second year";"bachelor - third year";"masters - second year";"masters - first year";"master - graduated";"bachalor - first year";"bachelor - fourth year";"doctoral degree - phd or equivalent"},
        0
    ),
    16,14,15,18,17,18,13,16,21
)</f>
        <v>18</v>
      </c>
      <c r="BX5">
        <f t="shared" si="13"/>
        <v>2.25</v>
      </c>
      <c r="BY5">
        <v>3</v>
      </c>
      <c r="BZ5">
        <f t="shared" si="6"/>
        <v>0</v>
      </c>
    </row>
    <row r="6" spans="1:78" x14ac:dyDescent="0.2">
      <c r="A6" t="s">
        <v>186</v>
      </c>
      <c r="B6" t="s">
        <v>187</v>
      </c>
      <c r="C6" t="s">
        <v>48</v>
      </c>
      <c r="D6" t="s">
        <v>188</v>
      </c>
      <c r="E6" t="s">
        <v>84</v>
      </c>
      <c r="F6" t="s">
        <v>189</v>
      </c>
      <c r="G6" t="s">
        <v>86</v>
      </c>
      <c r="H6" t="s">
        <v>190</v>
      </c>
      <c r="I6" t="s">
        <v>191</v>
      </c>
      <c r="N6" t="s">
        <v>192</v>
      </c>
      <c r="O6" t="s">
        <v>193</v>
      </c>
      <c r="P6" t="s">
        <v>156</v>
      </c>
      <c r="Q6" t="s">
        <v>92</v>
      </c>
      <c r="T6">
        <v>0</v>
      </c>
      <c r="U6" t="s">
        <v>94</v>
      </c>
      <c r="V6" t="s">
        <v>93</v>
      </c>
      <c r="W6" t="s">
        <v>93</v>
      </c>
      <c r="X6" t="s">
        <v>93</v>
      </c>
      <c r="Y6" t="s">
        <v>94</v>
      </c>
      <c r="Z6" t="s">
        <v>108</v>
      </c>
      <c r="AA6" t="s">
        <v>194</v>
      </c>
      <c r="AB6">
        <v>85</v>
      </c>
      <c r="AC6">
        <v>5</v>
      </c>
      <c r="AD6">
        <v>10</v>
      </c>
      <c r="AE6">
        <v>0</v>
      </c>
      <c r="AF6" t="s">
        <v>99</v>
      </c>
      <c r="AG6" t="s">
        <v>100</v>
      </c>
      <c r="AH6" t="s">
        <v>196</v>
      </c>
      <c r="AI6" t="s">
        <v>171</v>
      </c>
      <c r="AJ6" t="s">
        <v>172</v>
      </c>
      <c r="AK6" t="s">
        <v>197</v>
      </c>
      <c r="AL6">
        <v>9</v>
      </c>
      <c r="AM6" t="s">
        <v>175</v>
      </c>
      <c r="AN6">
        <v>65</v>
      </c>
      <c r="AO6">
        <v>15</v>
      </c>
      <c r="AP6">
        <v>20</v>
      </c>
      <c r="AQ6">
        <v>0</v>
      </c>
      <c r="AR6" t="s">
        <v>198</v>
      </c>
      <c r="AS6" t="s">
        <v>199</v>
      </c>
      <c r="AW6">
        <f t="shared" si="7"/>
        <v>1</v>
      </c>
      <c r="AX6">
        <f t="shared" si="8"/>
        <v>1</v>
      </c>
      <c r="AY6">
        <f t="shared" si="9"/>
        <v>0</v>
      </c>
      <c r="AZ6">
        <f t="shared" si="10"/>
        <v>1</v>
      </c>
      <c r="BA6">
        <f t="shared" si="11"/>
        <v>1</v>
      </c>
      <c r="BB6">
        <f>SUM(AW6:BA6)</f>
        <v>4</v>
      </c>
      <c r="BC6" t="s">
        <v>197</v>
      </c>
      <c r="BE6">
        <f>MATCH(U7,{"Strongly disagree";"Disagree";"Somewhat disagree";"Neither agree nor disagree";"Somewhat agree";"Agree";"Strongly agree"},0)</f>
        <v>6</v>
      </c>
      <c r="BF6">
        <f>MATCH(W7,{"Strongly disagree";"Disagree";"Somewhat disagree";"Neither agree nor disagree";"Somewhat agree";"Agree";"Strongly agree"},0)</f>
        <v>2</v>
      </c>
      <c r="BG6">
        <f>MATCH(Y7,{"Strongly disagree";"Disagree";"Somewhat disagree";"Neither agree nor disagree";"Somewhat agree";"Agree";"Strongly agree"},0)</f>
        <v>6</v>
      </c>
      <c r="BI6">
        <f t="shared" si="1"/>
        <v>0.83333333333333337</v>
      </c>
      <c r="BJ6">
        <f t="shared" si="2"/>
        <v>0.16666666666666666</v>
      </c>
      <c r="BK6">
        <f t="shared" si="3"/>
        <v>0.83333333333333337</v>
      </c>
      <c r="BM6" t="s">
        <v>559</v>
      </c>
      <c r="BN6" s="3">
        <v>1</v>
      </c>
      <c r="BP6">
        <f t="shared" si="4"/>
        <v>0.83333333333333337</v>
      </c>
      <c r="BQ6">
        <f t="shared" si="0"/>
        <v>0.83333333333333326</v>
      </c>
      <c r="BR6">
        <f t="shared" si="5"/>
        <v>0.625</v>
      </c>
      <c r="BS6">
        <f t="shared" si="12"/>
        <v>1</v>
      </c>
      <c r="BT6">
        <f>MATCH(LOWER(CLEAN(TRIM(AR7))),{"male";"female"},0)-1</f>
        <v>0</v>
      </c>
      <c r="BU6">
        <v>3</v>
      </c>
      <c r="BV6">
        <v>4</v>
      </c>
      <c r="BW6">
        <f>CHOOSE(
    MATCH(
        LOWER(CLEAN(TRIM(AS7))),
        {"bachelor - graduated";"bachalor - second year";"bachelor - third year";"masters - second year";"masters - first year";"master - graduated";"bachalor - first year";"bachelor - fourth year";"doctoral degree - phd or equivalent"},
        0
    ),
    16,14,15,18,17,18,13,16,21
)</f>
        <v>18</v>
      </c>
      <c r="BX6">
        <f t="shared" si="13"/>
        <v>-0.75</v>
      </c>
      <c r="BY6">
        <v>8</v>
      </c>
      <c r="BZ6">
        <f t="shared" si="6"/>
        <v>0</v>
      </c>
    </row>
    <row r="7" spans="1:78" x14ac:dyDescent="0.2">
      <c r="A7" t="s">
        <v>208</v>
      </c>
      <c r="B7" t="s">
        <v>209</v>
      </c>
      <c r="C7" t="s">
        <v>48</v>
      </c>
      <c r="D7" t="s">
        <v>210</v>
      </c>
      <c r="E7" t="s">
        <v>84</v>
      </c>
      <c r="F7" t="s">
        <v>211</v>
      </c>
      <c r="G7" t="s">
        <v>86</v>
      </c>
      <c r="H7" t="s">
        <v>212</v>
      </c>
      <c r="I7" t="s">
        <v>213</v>
      </c>
      <c r="N7" t="s">
        <v>214</v>
      </c>
      <c r="O7" t="s">
        <v>215</v>
      </c>
      <c r="P7" t="s">
        <v>156</v>
      </c>
      <c r="Q7" t="s">
        <v>92</v>
      </c>
      <c r="T7">
        <v>0</v>
      </c>
      <c r="U7" t="s">
        <v>93</v>
      </c>
      <c r="V7" t="s">
        <v>93</v>
      </c>
      <c r="W7" t="s">
        <v>167</v>
      </c>
      <c r="X7" t="s">
        <v>133</v>
      </c>
      <c r="Y7" t="s">
        <v>93</v>
      </c>
      <c r="Z7" t="s">
        <v>108</v>
      </c>
      <c r="AA7" t="s">
        <v>216</v>
      </c>
      <c r="AB7">
        <v>15</v>
      </c>
      <c r="AC7">
        <v>15</v>
      </c>
      <c r="AD7">
        <v>60</v>
      </c>
      <c r="AE7">
        <v>10</v>
      </c>
      <c r="AF7" t="s">
        <v>99</v>
      </c>
      <c r="AG7" t="s">
        <v>100</v>
      </c>
      <c r="AH7" t="s">
        <v>101</v>
      </c>
      <c r="AI7" t="s">
        <v>102</v>
      </c>
      <c r="AJ7" t="s">
        <v>172</v>
      </c>
      <c r="AK7" t="s">
        <v>173</v>
      </c>
      <c r="AL7">
        <v>6</v>
      </c>
      <c r="AM7" t="s">
        <v>134</v>
      </c>
      <c r="AN7">
        <v>0</v>
      </c>
      <c r="AO7">
        <v>0</v>
      </c>
      <c r="AP7">
        <v>100</v>
      </c>
      <c r="AQ7">
        <v>0</v>
      </c>
      <c r="AR7" t="s">
        <v>105</v>
      </c>
      <c r="AS7" t="s">
        <v>199</v>
      </c>
      <c r="AW7">
        <f t="shared" si="7"/>
        <v>1</v>
      </c>
      <c r="AX7">
        <f t="shared" si="8"/>
        <v>1</v>
      </c>
      <c r="AY7">
        <f t="shared" si="9"/>
        <v>0</v>
      </c>
      <c r="AZ7">
        <f t="shared" si="10"/>
        <v>0</v>
      </c>
      <c r="BA7">
        <f t="shared" si="11"/>
        <v>1</v>
      </c>
      <c r="BB7">
        <f>SUM(AW7:BA7)</f>
        <v>3</v>
      </c>
      <c r="BC7" t="s">
        <v>173</v>
      </c>
      <c r="BE7">
        <f>MATCH(U8,{"Strongly disagree";"Disagree";"Somewhat disagree";"Neither agree nor disagree";"Somewhat agree";"Agree";"Strongly agree"},0)</f>
        <v>6</v>
      </c>
      <c r="BF7">
        <f>MATCH(W8,{"Strongly disagree";"Disagree";"Somewhat disagree";"Neither agree nor disagree";"Somewhat agree";"Agree";"Strongly agree"},0)</f>
        <v>1</v>
      </c>
      <c r="BG7">
        <f>MATCH(Y8,{"Strongly disagree";"Disagree";"Somewhat disagree";"Neither agree nor disagree";"Somewhat agree";"Agree";"Strongly agree"},0)</f>
        <v>3</v>
      </c>
      <c r="BI7">
        <f t="shared" si="1"/>
        <v>0.83333333333333337</v>
      </c>
      <c r="BJ7">
        <f t="shared" si="2"/>
        <v>0</v>
      </c>
      <c r="BK7">
        <f t="shared" si="3"/>
        <v>0.33333333333333331</v>
      </c>
      <c r="BP7">
        <f t="shared" si="4"/>
        <v>0.91666666666666674</v>
      </c>
      <c r="BQ7">
        <f t="shared" si="0"/>
        <v>0.72222222222222232</v>
      </c>
      <c r="BR7">
        <f t="shared" si="5"/>
        <v>0.625</v>
      </c>
      <c r="BS7">
        <f t="shared" si="12"/>
        <v>0.15</v>
      </c>
      <c r="BT7">
        <f>MATCH(LOWER(CLEAN(TRIM(AR8))),{"male";"female"},0)-1</f>
        <v>0</v>
      </c>
      <c r="BU7">
        <v>4</v>
      </c>
      <c r="BV7">
        <v>4</v>
      </c>
      <c r="BW7">
        <f>CHOOSE(
    MATCH(
        LOWER(CLEAN(TRIM(AS8))),
        {"bachelor - graduated";"bachalor - second year";"bachelor - third year";"masters - second year";"masters - first year";"master - graduated";"bachalor - first year";"bachelor - fourth year";"doctoral degree - phd or equivalent"},
        0
    ),
    16,14,15,18,17,18,13,16,21
)</f>
        <v>18</v>
      </c>
      <c r="BX7">
        <f t="shared" si="13"/>
        <v>0.25</v>
      </c>
      <c r="BY7">
        <v>9</v>
      </c>
      <c r="BZ7">
        <f t="shared" si="6"/>
        <v>0</v>
      </c>
    </row>
    <row r="8" spans="1:78" x14ac:dyDescent="0.2">
      <c r="A8" t="s">
        <v>219</v>
      </c>
      <c r="B8" t="s">
        <v>220</v>
      </c>
      <c r="C8" t="s">
        <v>48</v>
      </c>
      <c r="D8" t="s">
        <v>221</v>
      </c>
      <c r="E8" t="s">
        <v>84</v>
      </c>
      <c r="F8" t="s">
        <v>222</v>
      </c>
      <c r="G8" t="s">
        <v>86</v>
      </c>
      <c r="H8" t="s">
        <v>223</v>
      </c>
      <c r="I8" t="s">
        <v>224</v>
      </c>
      <c r="N8" t="s">
        <v>225</v>
      </c>
      <c r="O8" t="s">
        <v>226</v>
      </c>
      <c r="P8" t="s">
        <v>156</v>
      </c>
      <c r="Q8" t="s">
        <v>92</v>
      </c>
      <c r="T8">
        <v>0</v>
      </c>
      <c r="U8" t="s">
        <v>93</v>
      </c>
      <c r="V8" t="s">
        <v>94</v>
      </c>
      <c r="W8" t="s">
        <v>166</v>
      </c>
      <c r="X8" t="s">
        <v>167</v>
      </c>
      <c r="Y8" t="s">
        <v>133</v>
      </c>
      <c r="Z8" t="s">
        <v>108</v>
      </c>
      <c r="AA8" t="s">
        <v>140</v>
      </c>
      <c r="AB8">
        <v>10</v>
      </c>
      <c r="AC8">
        <v>20</v>
      </c>
      <c r="AD8">
        <v>70</v>
      </c>
      <c r="AE8">
        <v>0</v>
      </c>
      <c r="AF8" t="s">
        <v>99</v>
      </c>
      <c r="AG8" t="s">
        <v>100</v>
      </c>
      <c r="AH8" t="s">
        <v>196</v>
      </c>
      <c r="AI8" t="s">
        <v>171</v>
      </c>
      <c r="AJ8" t="s">
        <v>172</v>
      </c>
      <c r="AK8" t="s">
        <v>173</v>
      </c>
      <c r="AL8">
        <v>7</v>
      </c>
      <c r="AM8" t="s">
        <v>195</v>
      </c>
      <c r="AN8">
        <v>10</v>
      </c>
      <c r="AO8">
        <v>0</v>
      </c>
      <c r="AP8">
        <v>10</v>
      </c>
      <c r="AQ8">
        <v>80</v>
      </c>
      <c r="AR8" t="s">
        <v>105</v>
      </c>
      <c r="AS8" t="s">
        <v>199</v>
      </c>
      <c r="AW8">
        <f t="shared" si="7"/>
        <v>1</v>
      </c>
      <c r="AX8">
        <f t="shared" si="8"/>
        <v>1</v>
      </c>
      <c r="AY8">
        <f t="shared" si="9"/>
        <v>0</v>
      </c>
      <c r="AZ8">
        <f t="shared" si="10"/>
        <v>1</v>
      </c>
      <c r="BA8">
        <f t="shared" si="11"/>
        <v>1</v>
      </c>
      <c r="BB8">
        <f>SUM(AW8:BA8)</f>
        <v>4</v>
      </c>
      <c r="BC8" t="s">
        <v>173</v>
      </c>
      <c r="BE8">
        <f>MATCH(U9,{"Strongly disagree";"Disagree";"Somewhat disagree";"Neither agree nor disagree";"Somewhat agree";"Agree";"Strongly agree"},0)</f>
        <v>6</v>
      </c>
      <c r="BF8">
        <f>MATCH(W9,{"Strongly disagree";"Disagree";"Somewhat disagree";"Neither agree nor disagree";"Somewhat agree";"Agree";"Strongly agree"},0)</f>
        <v>4</v>
      </c>
      <c r="BG8">
        <f>MATCH(Y9,{"Strongly disagree";"Disagree";"Somewhat disagree";"Neither agree nor disagree";"Somewhat agree";"Agree";"Strongly agree"},0)</f>
        <v>4</v>
      </c>
      <c r="BI8">
        <f t="shared" si="1"/>
        <v>0.83333333333333337</v>
      </c>
      <c r="BJ8">
        <f t="shared" si="2"/>
        <v>0.5</v>
      </c>
      <c r="BK8">
        <f t="shared" si="3"/>
        <v>0.5</v>
      </c>
      <c r="BM8" t="s">
        <v>560</v>
      </c>
      <c r="BN8">
        <f>AVERAGE(AL4:AL56)</f>
        <v>6.9782608695652177</v>
      </c>
      <c r="BP8">
        <f t="shared" si="4"/>
        <v>0.66666666666666674</v>
      </c>
      <c r="BQ8">
        <f t="shared" si="0"/>
        <v>0.61111111111111116</v>
      </c>
      <c r="BR8">
        <f t="shared" si="5"/>
        <v>0.35</v>
      </c>
      <c r="BS8">
        <f t="shared" si="12"/>
        <v>0.35</v>
      </c>
      <c r="BT8">
        <f>MATCH(LOWER(CLEAN(TRIM(AR9))),{"male";"female"},0)-1</f>
        <v>0</v>
      </c>
      <c r="BU8">
        <v>3</v>
      </c>
      <c r="BV8">
        <v>4</v>
      </c>
      <c r="BW8">
        <f>CHOOSE(
    MATCH(
        LOWER(CLEAN(TRIM(AS9))),
        {"bachelor - graduated";"bachalor - second year";"bachelor - third year";"masters - second year";"masters - first year";"master - graduated";"bachalor - first year";"bachelor - fourth year";"doctoral degree - phd or equivalent"},
        0
    ),
    16,14,15,18,17,18,13,16,21
)</f>
        <v>18</v>
      </c>
      <c r="BX8">
        <f t="shared" si="13"/>
        <v>1.25</v>
      </c>
      <c r="BY8">
        <v>3</v>
      </c>
      <c r="BZ8">
        <f t="shared" si="6"/>
        <v>0</v>
      </c>
    </row>
    <row r="9" spans="1:78" x14ac:dyDescent="0.2">
      <c r="A9" t="s">
        <v>229</v>
      </c>
      <c r="B9" t="s">
        <v>230</v>
      </c>
      <c r="C9" t="s">
        <v>48</v>
      </c>
      <c r="D9" t="s">
        <v>231</v>
      </c>
      <c r="E9" t="s">
        <v>84</v>
      </c>
      <c r="F9" t="s">
        <v>232</v>
      </c>
      <c r="G9" t="s">
        <v>86</v>
      </c>
      <c r="H9" t="s">
        <v>233</v>
      </c>
      <c r="I9" t="s">
        <v>234</v>
      </c>
      <c r="N9" t="s">
        <v>235</v>
      </c>
      <c r="O9" t="s">
        <v>236</v>
      </c>
      <c r="P9" t="s">
        <v>156</v>
      </c>
      <c r="Q9" t="s">
        <v>92</v>
      </c>
      <c r="T9">
        <v>0</v>
      </c>
      <c r="U9" t="s">
        <v>93</v>
      </c>
      <c r="V9" t="s">
        <v>237</v>
      </c>
      <c r="W9" t="s">
        <v>94</v>
      </c>
      <c r="X9" t="s">
        <v>94</v>
      </c>
      <c r="Y9" t="s">
        <v>94</v>
      </c>
      <c r="Z9" t="s">
        <v>108</v>
      </c>
      <c r="AA9" t="s">
        <v>194</v>
      </c>
      <c r="AB9">
        <v>60</v>
      </c>
      <c r="AC9">
        <v>0</v>
      </c>
      <c r="AD9">
        <v>20</v>
      </c>
      <c r="AE9">
        <v>20</v>
      </c>
      <c r="AF9" t="s">
        <v>169</v>
      </c>
      <c r="AG9" t="s">
        <v>100</v>
      </c>
      <c r="AH9" t="s">
        <v>101</v>
      </c>
      <c r="AI9" t="s">
        <v>171</v>
      </c>
      <c r="AJ9" t="s">
        <v>172</v>
      </c>
      <c r="AK9" t="s">
        <v>173</v>
      </c>
      <c r="AL9">
        <v>8</v>
      </c>
      <c r="AM9" t="s">
        <v>176</v>
      </c>
      <c r="AN9">
        <v>30</v>
      </c>
      <c r="AO9">
        <v>0</v>
      </c>
      <c r="AP9">
        <v>20</v>
      </c>
      <c r="AQ9">
        <v>50</v>
      </c>
      <c r="AR9" t="s">
        <v>105</v>
      </c>
      <c r="AS9" t="s">
        <v>199</v>
      </c>
      <c r="AW9">
        <f t="shared" si="7"/>
        <v>0</v>
      </c>
      <c r="AX9">
        <f t="shared" si="8"/>
        <v>1</v>
      </c>
      <c r="AY9">
        <f t="shared" si="9"/>
        <v>0</v>
      </c>
      <c r="AZ9">
        <f t="shared" si="10"/>
        <v>1</v>
      </c>
      <c r="BA9">
        <f t="shared" si="11"/>
        <v>1</v>
      </c>
      <c r="BB9">
        <f>SUM(AW9:BA9)</f>
        <v>3</v>
      </c>
      <c r="BC9" t="s">
        <v>173</v>
      </c>
      <c r="BE9">
        <f>MATCH(U10,{"Strongly disagree";"Disagree";"Somewhat disagree";"Neither agree nor disagree";"Somewhat agree";"Agree";"Strongly agree"},0)</f>
        <v>6</v>
      </c>
      <c r="BF9">
        <f>MATCH(W10,{"Strongly disagree";"Disagree";"Somewhat disagree";"Neither agree nor disagree";"Somewhat agree";"Agree";"Strongly agree"},0)</f>
        <v>2</v>
      </c>
      <c r="BG9">
        <f>MATCH(Y10,{"Strongly disagree";"Disagree";"Somewhat disagree";"Neither agree nor disagree";"Somewhat agree";"Agree";"Strongly agree"},0)</f>
        <v>6</v>
      </c>
      <c r="BI9">
        <f t="shared" si="1"/>
        <v>0.83333333333333337</v>
      </c>
      <c r="BJ9">
        <f t="shared" si="2"/>
        <v>0.16666666666666666</v>
      </c>
      <c r="BK9">
        <f t="shared" si="3"/>
        <v>0.83333333333333337</v>
      </c>
      <c r="BP9">
        <f t="shared" si="4"/>
        <v>0.83333333333333337</v>
      </c>
      <c r="BQ9">
        <f t="shared" si="0"/>
        <v>0.83333333333333326</v>
      </c>
      <c r="BR9">
        <f t="shared" si="5"/>
        <v>0.73750000000000004</v>
      </c>
      <c r="BS9">
        <f t="shared" si="12"/>
        <v>0.875</v>
      </c>
      <c r="BT9">
        <f>MATCH(LOWER(CLEAN(TRIM(AR10))),{"male";"female"},0)-1</f>
        <v>0</v>
      </c>
      <c r="BU9">
        <v>4</v>
      </c>
      <c r="BV9">
        <v>5</v>
      </c>
      <c r="BW9">
        <f>CHOOSE(
    MATCH(
        LOWER(CLEAN(TRIM(AS10))),
        {"bachelor - graduated";"bachalor - second year";"bachelor - third year";"masters - second year";"masters - first year";"master - graduated";"bachalor - first year";"bachelor - fourth year";"doctoral degree - phd or equivalent"},
        0
    ),
    16,14,15,18,17,18,13,16,21
)</f>
        <v>18</v>
      </c>
      <c r="BX9">
        <f t="shared" si="13"/>
        <v>0.25</v>
      </c>
      <c r="BY9">
        <v>7</v>
      </c>
      <c r="BZ9">
        <f t="shared" si="6"/>
        <v>0</v>
      </c>
    </row>
    <row r="10" spans="1:78" x14ac:dyDescent="0.2">
      <c r="A10" t="s">
        <v>266</v>
      </c>
      <c r="B10" t="s">
        <v>267</v>
      </c>
      <c r="C10" t="s">
        <v>48</v>
      </c>
      <c r="D10" t="s">
        <v>268</v>
      </c>
      <c r="E10" t="s">
        <v>84</v>
      </c>
      <c r="F10" t="s">
        <v>269</v>
      </c>
      <c r="G10" t="s">
        <v>86</v>
      </c>
      <c r="H10" t="s">
        <v>270</v>
      </c>
      <c r="I10" t="s">
        <v>271</v>
      </c>
      <c r="N10" t="s">
        <v>119</v>
      </c>
      <c r="O10" t="s">
        <v>120</v>
      </c>
      <c r="P10" t="s">
        <v>156</v>
      </c>
      <c r="Q10" t="s">
        <v>92</v>
      </c>
      <c r="T10">
        <v>0</v>
      </c>
      <c r="U10" t="s">
        <v>93</v>
      </c>
      <c r="V10" t="s">
        <v>93</v>
      </c>
      <c r="W10" t="s">
        <v>167</v>
      </c>
      <c r="X10" t="s">
        <v>93</v>
      </c>
      <c r="Y10" t="s">
        <v>93</v>
      </c>
      <c r="Z10" t="s">
        <v>108</v>
      </c>
      <c r="AA10" t="s">
        <v>168</v>
      </c>
      <c r="AB10">
        <v>5</v>
      </c>
      <c r="AC10">
        <v>0</v>
      </c>
      <c r="AD10">
        <v>85</v>
      </c>
      <c r="AE10">
        <v>10</v>
      </c>
      <c r="AF10" t="s">
        <v>169</v>
      </c>
      <c r="AG10" t="s">
        <v>100</v>
      </c>
      <c r="AH10" t="s">
        <v>170</v>
      </c>
      <c r="AI10" t="s">
        <v>171</v>
      </c>
      <c r="AJ10" t="s">
        <v>172</v>
      </c>
      <c r="AK10" t="s">
        <v>272</v>
      </c>
      <c r="AL10">
        <v>7</v>
      </c>
      <c r="AM10" t="s">
        <v>174</v>
      </c>
      <c r="AN10">
        <v>5</v>
      </c>
      <c r="AO10">
        <v>0</v>
      </c>
      <c r="AP10">
        <v>85</v>
      </c>
      <c r="AQ10">
        <v>10</v>
      </c>
      <c r="AR10" t="s">
        <v>105</v>
      </c>
      <c r="AS10" t="s">
        <v>199</v>
      </c>
      <c r="AW10">
        <f t="shared" si="7"/>
        <v>0</v>
      </c>
      <c r="AX10">
        <f t="shared" si="8"/>
        <v>1</v>
      </c>
      <c r="AY10">
        <f t="shared" si="9"/>
        <v>1</v>
      </c>
      <c r="AZ10">
        <f t="shared" si="10"/>
        <v>1</v>
      </c>
      <c r="BA10">
        <f t="shared" si="11"/>
        <v>1</v>
      </c>
      <c r="BB10">
        <f>SUM(AW10:BA10)</f>
        <v>4</v>
      </c>
      <c r="BC10" t="s">
        <v>272</v>
      </c>
      <c r="BE10">
        <f>MATCH(U11,{"Strongly disagree";"Disagree";"Somewhat disagree";"Neither agree nor disagree";"Somewhat agree";"Agree";"Strongly agree"},0)</f>
        <v>4</v>
      </c>
      <c r="BF10">
        <f>MATCH(W11,{"Strongly disagree";"Disagree";"Somewhat disagree";"Neither agree nor disagree";"Somewhat agree";"Agree";"Strongly agree"},0)</f>
        <v>5</v>
      </c>
      <c r="BG10">
        <f>MATCH(Y11,{"Strongly disagree";"Disagree";"Somewhat disagree";"Neither agree nor disagree";"Somewhat agree";"Agree";"Strongly agree"},0)</f>
        <v>6</v>
      </c>
      <c r="BI10">
        <f t="shared" si="1"/>
        <v>0.5</v>
      </c>
      <c r="BJ10">
        <f t="shared" si="2"/>
        <v>0.66666666666666663</v>
      </c>
      <c r="BK10">
        <f t="shared" si="3"/>
        <v>0.83333333333333337</v>
      </c>
      <c r="BP10">
        <f t="shared" si="4"/>
        <v>0.41666666666666669</v>
      </c>
      <c r="BQ10">
        <f t="shared" si="0"/>
        <v>0.55555555555555558</v>
      </c>
      <c r="BR10">
        <f t="shared" si="5"/>
        <v>0.92500000000000004</v>
      </c>
      <c r="BS10">
        <f t="shared" si="12"/>
        <v>0.5</v>
      </c>
      <c r="BT10">
        <f>MATCH(LOWER(CLEAN(TRIM(AR11))),{"male";"female"},0)-1</f>
        <v>0</v>
      </c>
      <c r="BU10">
        <v>4</v>
      </c>
      <c r="BV10">
        <v>4</v>
      </c>
      <c r="BW10">
        <f>CHOOSE(
    MATCH(
        LOWER(CLEAN(TRIM(AS11))),
        {"bachelor - graduated";"bachalor - second year";"bachelor - third year";"masters - second year";"masters - first year";"master - graduated";"bachalor - first year";"bachelor - fourth year";"doctoral degree - phd or equivalent"},
        0
    ),
    16,14,15,18,17,18,13,16,21
)</f>
        <v>18</v>
      </c>
      <c r="BX10">
        <f t="shared" si="13"/>
        <v>2.25</v>
      </c>
      <c r="BY10">
        <v>7</v>
      </c>
      <c r="BZ10">
        <f t="shared" si="6"/>
        <v>0</v>
      </c>
    </row>
    <row r="11" spans="1:78" x14ac:dyDescent="0.2">
      <c r="A11" t="s">
        <v>273</v>
      </c>
      <c r="B11" t="s">
        <v>274</v>
      </c>
      <c r="C11" t="s">
        <v>48</v>
      </c>
      <c r="D11" t="s">
        <v>275</v>
      </c>
      <c r="E11" t="s">
        <v>84</v>
      </c>
      <c r="F11" t="s">
        <v>276</v>
      </c>
      <c r="G11" t="s">
        <v>86</v>
      </c>
      <c r="H11" t="s">
        <v>277</v>
      </c>
      <c r="I11" t="s">
        <v>278</v>
      </c>
      <c r="N11" t="s">
        <v>279</v>
      </c>
      <c r="O11" t="s">
        <v>280</v>
      </c>
      <c r="P11" t="s">
        <v>156</v>
      </c>
      <c r="Q11" t="s">
        <v>92</v>
      </c>
      <c r="T11">
        <v>0</v>
      </c>
      <c r="U11" t="s">
        <v>94</v>
      </c>
      <c r="V11" t="s">
        <v>165</v>
      </c>
      <c r="W11" t="s">
        <v>237</v>
      </c>
      <c r="X11" t="s">
        <v>165</v>
      </c>
      <c r="Y11" t="s">
        <v>93</v>
      </c>
      <c r="Z11" t="s">
        <v>108</v>
      </c>
      <c r="AA11" t="s">
        <v>168</v>
      </c>
      <c r="AB11">
        <v>0</v>
      </c>
      <c r="AC11">
        <v>0</v>
      </c>
      <c r="AD11">
        <v>30</v>
      </c>
      <c r="AE11">
        <v>70</v>
      </c>
      <c r="AF11" t="s">
        <v>281</v>
      </c>
      <c r="AG11" t="s">
        <v>100</v>
      </c>
      <c r="AH11" t="s">
        <v>170</v>
      </c>
      <c r="AI11" t="s">
        <v>171</v>
      </c>
      <c r="AJ11" t="s">
        <v>172</v>
      </c>
      <c r="AK11" t="s">
        <v>173</v>
      </c>
      <c r="AL11">
        <v>9</v>
      </c>
      <c r="AM11" t="s">
        <v>134</v>
      </c>
      <c r="AN11">
        <v>0</v>
      </c>
      <c r="AO11">
        <v>0</v>
      </c>
      <c r="AP11">
        <v>50</v>
      </c>
      <c r="AQ11">
        <v>50</v>
      </c>
      <c r="AR11" t="s">
        <v>105</v>
      </c>
      <c r="AS11" t="s">
        <v>199</v>
      </c>
      <c r="AW11">
        <f t="shared" si="7"/>
        <v>0</v>
      </c>
      <c r="AX11">
        <f t="shared" si="8"/>
        <v>1</v>
      </c>
      <c r="AY11">
        <f t="shared" si="9"/>
        <v>1</v>
      </c>
      <c r="AZ11">
        <f t="shared" si="10"/>
        <v>1</v>
      </c>
      <c r="BA11">
        <f t="shared" si="11"/>
        <v>1</v>
      </c>
      <c r="BB11">
        <f>SUM(AW11:BA11)</f>
        <v>4</v>
      </c>
      <c r="BC11" t="s">
        <v>173</v>
      </c>
      <c r="BE11">
        <f>MATCH(U12,{"Strongly disagree";"Disagree";"Somewhat disagree";"Neither agree nor disagree";"Somewhat agree";"Agree";"Strongly agree"},0)</f>
        <v>7</v>
      </c>
      <c r="BF11">
        <f>MATCH(W12,{"Strongly disagree";"Disagree";"Somewhat disagree";"Neither agree nor disagree";"Somewhat agree";"Agree";"Strongly agree"},0)</f>
        <v>4</v>
      </c>
      <c r="BG11">
        <f>MATCH(Y12,{"Strongly disagree";"Disagree";"Somewhat disagree";"Neither agree nor disagree";"Somewhat agree";"Agree";"Strongly agree"},0)</f>
        <v>5</v>
      </c>
      <c r="BI11">
        <f t="shared" si="1"/>
        <v>1</v>
      </c>
      <c r="BJ11">
        <f t="shared" si="2"/>
        <v>0.5</v>
      </c>
      <c r="BK11">
        <f t="shared" si="3"/>
        <v>0.66666666666666663</v>
      </c>
      <c r="BP11">
        <f t="shared" si="4"/>
        <v>0.75</v>
      </c>
      <c r="BQ11">
        <f t="shared" si="0"/>
        <v>0.7222222222222221</v>
      </c>
      <c r="BR11">
        <f t="shared" si="5"/>
        <v>0.75</v>
      </c>
      <c r="BS11">
        <f t="shared" si="12"/>
        <v>0.55000000000000004</v>
      </c>
      <c r="BT11">
        <f>MATCH(LOWER(CLEAN(TRIM(AR12))),{"male";"female"},0)-1</f>
        <v>0</v>
      </c>
      <c r="BU11">
        <v>5</v>
      </c>
      <c r="BV11">
        <v>3</v>
      </c>
      <c r="BW11">
        <f>CHOOSE(
    MATCH(
        LOWER(CLEAN(TRIM(AS12))),
        {"bachelor - graduated";"bachalor - second year";"bachelor - third year";"masters - second year";"masters - first year";"master - graduated";"bachalor - first year";"bachelor - fourth year";"doctoral degree - phd or equivalent"},
        0
    ),
    16,14,15,18,17,18,13,16,21
)</f>
        <v>18</v>
      </c>
      <c r="BX11">
        <f t="shared" si="13"/>
        <v>3.25</v>
      </c>
      <c r="BY11">
        <v>10</v>
      </c>
      <c r="BZ11">
        <f t="shared" si="6"/>
        <v>0</v>
      </c>
    </row>
    <row r="12" spans="1:78" x14ac:dyDescent="0.2">
      <c r="A12" t="s">
        <v>311</v>
      </c>
      <c r="B12" t="s">
        <v>312</v>
      </c>
      <c r="C12" t="s">
        <v>48</v>
      </c>
      <c r="D12" t="s">
        <v>313</v>
      </c>
      <c r="E12" t="s">
        <v>84</v>
      </c>
      <c r="F12" t="s">
        <v>85</v>
      </c>
      <c r="G12" t="s">
        <v>86</v>
      </c>
      <c r="H12" t="s">
        <v>314</v>
      </c>
      <c r="I12" t="s">
        <v>315</v>
      </c>
      <c r="N12" t="s">
        <v>316</v>
      </c>
      <c r="O12" t="s">
        <v>317</v>
      </c>
      <c r="P12" t="s">
        <v>156</v>
      </c>
      <c r="Q12" t="s">
        <v>92</v>
      </c>
      <c r="T12">
        <v>0</v>
      </c>
      <c r="U12" t="s">
        <v>165</v>
      </c>
      <c r="V12" t="s">
        <v>93</v>
      </c>
      <c r="W12" t="s">
        <v>94</v>
      </c>
      <c r="X12" t="s">
        <v>94</v>
      </c>
      <c r="Y12" t="s">
        <v>237</v>
      </c>
      <c r="Z12" t="s">
        <v>108</v>
      </c>
      <c r="AA12" t="s">
        <v>195</v>
      </c>
      <c r="AB12">
        <v>10</v>
      </c>
      <c r="AC12">
        <v>10</v>
      </c>
      <c r="AD12">
        <v>40</v>
      </c>
      <c r="AE12">
        <v>40</v>
      </c>
      <c r="AF12" t="s">
        <v>99</v>
      </c>
      <c r="AG12" t="s">
        <v>100</v>
      </c>
      <c r="AH12" t="s">
        <v>170</v>
      </c>
      <c r="AI12" t="s">
        <v>171</v>
      </c>
      <c r="AJ12" t="s">
        <v>172</v>
      </c>
      <c r="AK12" t="s">
        <v>197</v>
      </c>
      <c r="AL12">
        <v>10</v>
      </c>
      <c r="AM12" t="s">
        <v>195</v>
      </c>
      <c r="AN12">
        <v>10</v>
      </c>
      <c r="AO12">
        <v>20</v>
      </c>
      <c r="AP12">
        <v>35</v>
      </c>
      <c r="AQ12">
        <v>35</v>
      </c>
      <c r="AR12" t="s">
        <v>105</v>
      </c>
      <c r="AS12" t="s">
        <v>199</v>
      </c>
      <c r="AW12">
        <f t="shared" si="7"/>
        <v>1</v>
      </c>
      <c r="AX12">
        <f t="shared" si="8"/>
        <v>1</v>
      </c>
      <c r="AY12">
        <f t="shared" si="9"/>
        <v>1</v>
      </c>
      <c r="AZ12">
        <f t="shared" si="10"/>
        <v>1</v>
      </c>
      <c r="BA12">
        <f t="shared" si="11"/>
        <v>1</v>
      </c>
      <c r="BB12">
        <f>SUM(AW12:BA12)</f>
        <v>5</v>
      </c>
      <c r="BC12" t="s">
        <v>197</v>
      </c>
      <c r="BE12">
        <f>MATCH(U13,{"Strongly disagree";"Disagree";"Somewhat disagree";"Neither agree nor disagree";"Somewhat agree";"Agree";"Strongly agree"},0)</f>
        <v>5</v>
      </c>
      <c r="BF12">
        <f>MATCH(W13,{"Strongly disagree";"Disagree";"Somewhat disagree";"Neither agree nor disagree";"Somewhat agree";"Agree";"Strongly agree"},0)</f>
        <v>3</v>
      </c>
      <c r="BG12">
        <f>MATCH(Y13,{"Strongly disagree";"Disagree";"Somewhat disagree";"Neither agree nor disagree";"Somewhat agree";"Agree";"Strongly agree"},0)</f>
        <v>5</v>
      </c>
      <c r="BI12">
        <f t="shared" si="1"/>
        <v>0.66666666666666663</v>
      </c>
      <c r="BJ12">
        <f t="shared" si="2"/>
        <v>0.33333333333333331</v>
      </c>
      <c r="BK12">
        <f t="shared" si="3"/>
        <v>0.66666666666666663</v>
      </c>
      <c r="BP12">
        <f t="shared" si="4"/>
        <v>0.66666666666666663</v>
      </c>
      <c r="BQ12">
        <f t="shared" si="0"/>
        <v>0.66666666666666663</v>
      </c>
      <c r="BR12">
        <f t="shared" si="5"/>
        <v>0.6875</v>
      </c>
      <c r="BT12">
        <f>MATCH(LOWER(CLEAN(TRIM(AR13))),{"male";"female"},0)-1</f>
        <v>0</v>
      </c>
      <c r="BU12">
        <v>1</v>
      </c>
      <c r="BV12">
        <v>2</v>
      </c>
      <c r="BW12">
        <f>CHOOSE(
    MATCH(
        LOWER(CLEAN(TRIM(AS13))),
        {"bachelor - graduated";"bachalor - second year";"bachelor - third year";"masters - second year";"masters - first year";"master - graduated";"bachalor - first year";"bachelor - fourth year";"doctoral degree - phd or equivalent"},
        0
    ),
    16,14,15,18,17,18,13,16,21
)</f>
        <v>18</v>
      </c>
      <c r="BX12">
        <f t="shared" si="13"/>
        <v>-1.75</v>
      </c>
      <c r="BZ12">
        <f t="shared" si="6"/>
        <v>0</v>
      </c>
    </row>
    <row r="13" spans="1:78" x14ac:dyDescent="0.2">
      <c r="A13" t="s">
        <v>318</v>
      </c>
      <c r="B13" t="s">
        <v>319</v>
      </c>
      <c r="C13" t="s">
        <v>48</v>
      </c>
      <c r="D13" t="s">
        <v>320</v>
      </c>
      <c r="E13" t="s">
        <v>84</v>
      </c>
      <c r="F13" t="s">
        <v>321</v>
      </c>
      <c r="G13" t="s">
        <v>86</v>
      </c>
      <c r="H13" t="s">
        <v>322</v>
      </c>
      <c r="I13" t="s">
        <v>323</v>
      </c>
      <c r="N13" t="s">
        <v>126</v>
      </c>
      <c r="O13" t="s">
        <v>127</v>
      </c>
      <c r="P13" t="s">
        <v>156</v>
      </c>
      <c r="Q13" t="s">
        <v>92</v>
      </c>
      <c r="T13">
        <v>0</v>
      </c>
      <c r="U13" t="s">
        <v>237</v>
      </c>
      <c r="V13" t="s">
        <v>93</v>
      </c>
      <c r="W13" t="s">
        <v>133</v>
      </c>
      <c r="X13" t="s">
        <v>94</v>
      </c>
      <c r="Y13" t="s">
        <v>237</v>
      </c>
      <c r="Z13" t="s">
        <v>95</v>
      </c>
      <c r="AB13">
        <v>0</v>
      </c>
      <c r="AC13">
        <v>50</v>
      </c>
      <c r="AD13">
        <v>25</v>
      </c>
      <c r="AE13">
        <v>25</v>
      </c>
      <c r="AF13" t="s">
        <v>137</v>
      </c>
      <c r="AG13" t="s">
        <v>324</v>
      </c>
      <c r="AH13" t="s">
        <v>137</v>
      </c>
      <c r="AI13" t="s">
        <v>171</v>
      </c>
      <c r="AJ13" t="s">
        <v>325</v>
      </c>
      <c r="AK13" t="s">
        <v>104</v>
      </c>
      <c r="AL13">
        <v>5</v>
      </c>
      <c r="AR13" t="s">
        <v>105</v>
      </c>
      <c r="AS13" t="s">
        <v>326</v>
      </c>
      <c r="AW13">
        <f t="shared" si="7"/>
        <v>0</v>
      </c>
      <c r="AX13">
        <f t="shared" si="8"/>
        <v>0</v>
      </c>
      <c r="AY13">
        <f t="shared" si="9"/>
        <v>0</v>
      </c>
      <c r="AZ13">
        <f t="shared" si="10"/>
        <v>1</v>
      </c>
      <c r="BA13">
        <f t="shared" si="11"/>
        <v>0</v>
      </c>
      <c r="BB13">
        <f>SUM(AW13:BA13)</f>
        <v>1</v>
      </c>
      <c r="BC13" t="s">
        <v>104</v>
      </c>
      <c r="BE13">
        <f>MATCH(U14,{"Strongly disagree";"Disagree";"Somewhat disagree";"Neither agree nor disagree";"Somewhat agree";"Agree";"Strongly agree"},0)</f>
        <v>7</v>
      </c>
      <c r="BF13">
        <f>MATCH(W14,{"Strongly disagree";"Disagree";"Somewhat disagree";"Neither agree nor disagree";"Somewhat agree";"Agree";"Strongly agree"},0)</f>
        <v>2</v>
      </c>
      <c r="BG13">
        <f>MATCH(Y14,{"Strongly disagree";"Disagree";"Somewhat disagree";"Neither agree nor disagree";"Somewhat agree";"Agree";"Strongly agree"},0)</f>
        <v>6</v>
      </c>
      <c r="BI13">
        <f t="shared" si="1"/>
        <v>1</v>
      </c>
      <c r="BJ13">
        <f t="shared" si="2"/>
        <v>0.16666666666666666</v>
      </c>
      <c r="BK13">
        <f>(BG13-1)/6</f>
        <v>0.83333333333333337</v>
      </c>
      <c r="BP13">
        <f t="shared" si="4"/>
        <v>0.91666666666666663</v>
      </c>
      <c r="BQ13">
        <f t="shared" si="0"/>
        <v>0.88888888888888884</v>
      </c>
      <c r="BR13">
        <f t="shared" si="5"/>
        <v>1</v>
      </c>
      <c r="BS13">
        <f t="shared" si="12"/>
        <v>0.72499999999999998</v>
      </c>
      <c r="BT13">
        <f>MATCH(LOWER(CLEAN(TRIM(AR14))),{"male";"female"},0)-1</f>
        <v>0</v>
      </c>
      <c r="BU13">
        <v>4</v>
      </c>
      <c r="BV13">
        <v>5</v>
      </c>
      <c r="BW13">
        <f>CHOOSE(
    MATCH(
        LOWER(CLEAN(TRIM(AS14))),
        {"bachelor - graduated";"bachalor - second year";"bachelor - third year";"masters - second year";"masters - first year";"master - graduated";"bachalor - first year";"bachelor - fourth year";"doctoral degree - phd or equivalent"},
        0
    ),
    16,14,15,18,17,18,13,16,21
)</f>
        <v>18</v>
      </c>
      <c r="BX13">
        <f t="shared" si="13"/>
        <v>0.25</v>
      </c>
      <c r="BY13">
        <v>5</v>
      </c>
      <c r="BZ13">
        <f t="shared" si="6"/>
        <v>0</v>
      </c>
    </row>
    <row r="14" spans="1:78" x14ac:dyDescent="0.2">
      <c r="A14" t="s">
        <v>335</v>
      </c>
      <c r="B14" t="s">
        <v>336</v>
      </c>
      <c r="C14" t="s">
        <v>48</v>
      </c>
      <c r="D14" t="s">
        <v>337</v>
      </c>
      <c r="E14" t="s">
        <v>84</v>
      </c>
      <c r="F14" t="s">
        <v>338</v>
      </c>
      <c r="G14" t="s">
        <v>86</v>
      </c>
      <c r="H14" t="s">
        <v>339</v>
      </c>
      <c r="I14" t="s">
        <v>340</v>
      </c>
      <c r="N14" t="s">
        <v>341</v>
      </c>
      <c r="O14" t="s">
        <v>342</v>
      </c>
      <c r="P14" t="s">
        <v>156</v>
      </c>
      <c r="Q14" t="s">
        <v>92</v>
      </c>
      <c r="T14">
        <v>0</v>
      </c>
      <c r="U14" t="s">
        <v>165</v>
      </c>
      <c r="V14" t="s">
        <v>93</v>
      </c>
      <c r="W14" t="s">
        <v>167</v>
      </c>
      <c r="X14" t="s">
        <v>166</v>
      </c>
      <c r="Y14" t="s">
        <v>93</v>
      </c>
      <c r="Z14" t="s">
        <v>108</v>
      </c>
      <c r="AA14" t="s">
        <v>174</v>
      </c>
      <c r="AB14">
        <v>0</v>
      </c>
      <c r="AC14">
        <v>0</v>
      </c>
      <c r="AD14">
        <v>0</v>
      </c>
      <c r="AE14">
        <v>100</v>
      </c>
      <c r="AF14" t="s">
        <v>99</v>
      </c>
      <c r="AG14" t="s">
        <v>100</v>
      </c>
      <c r="AH14" t="s">
        <v>196</v>
      </c>
      <c r="AI14" t="s">
        <v>171</v>
      </c>
      <c r="AJ14" t="s">
        <v>172</v>
      </c>
      <c r="AK14" t="s">
        <v>272</v>
      </c>
      <c r="AL14">
        <v>7</v>
      </c>
      <c r="AM14" t="s">
        <v>107</v>
      </c>
      <c r="AN14">
        <v>40</v>
      </c>
      <c r="AO14">
        <v>30</v>
      </c>
      <c r="AP14">
        <v>30</v>
      </c>
      <c r="AQ14">
        <v>0</v>
      </c>
      <c r="AR14" t="s">
        <v>105</v>
      </c>
      <c r="AS14" t="s">
        <v>199</v>
      </c>
      <c r="AW14">
        <f t="shared" si="7"/>
        <v>1</v>
      </c>
      <c r="AX14">
        <f t="shared" si="8"/>
        <v>1</v>
      </c>
      <c r="AY14">
        <f t="shared" si="9"/>
        <v>0</v>
      </c>
      <c r="AZ14">
        <f t="shared" si="10"/>
        <v>1</v>
      </c>
      <c r="BA14">
        <f t="shared" si="11"/>
        <v>1</v>
      </c>
      <c r="BB14">
        <f>SUM(AW14:BA14)</f>
        <v>4</v>
      </c>
      <c r="BC14" t="s">
        <v>272</v>
      </c>
      <c r="BE14">
        <f>MATCH(U15,{"Strongly disagree";"Disagree";"Somewhat disagree";"Neither agree nor disagree";"Somewhat agree";"Agree";"Strongly agree"},0)</f>
        <v>5</v>
      </c>
      <c r="BF14">
        <f>MATCH(W15,{"Strongly disagree";"Disagree";"Somewhat disagree";"Neither agree nor disagree";"Somewhat agree";"Agree";"Strongly agree"},0)</f>
        <v>3</v>
      </c>
      <c r="BG14">
        <f>MATCH(Y15,{"Strongly disagree";"Disagree";"Somewhat disagree";"Neither agree nor disagree";"Somewhat agree";"Agree";"Strongly agree"},0)</f>
        <v>5</v>
      </c>
      <c r="BI14">
        <f t="shared" si="1"/>
        <v>0.66666666666666663</v>
      </c>
      <c r="BJ14">
        <f t="shared" si="2"/>
        <v>0.33333333333333331</v>
      </c>
      <c r="BK14">
        <f t="shared" si="3"/>
        <v>0.66666666666666663</v>
      </c>
      <c r="BP14">
        <f t="shared" si="4"/>
        <v>0.66666666666666663</v>
      </c>
      <c r="BQ14">
        <f t="shared" si="0"/>
        <v>0.66666666666666663</v>
      </c>
      <c r="BR14">
        <f t="shared" si="5"/>
        <v>0.67500000000000004</v>
      </c>
      <c r="BS14">
        <f t="shared" si="12"/>
        <v>1</v>
      </c>
      <c r="BT14">
        <f>MATCH(LOWER(CLEAN(TRIM(AR15))),{"male";"female"},0)-1</f>
        <v>0</v>
      </c>
      <c r="BU14">
        <v>4</v>
      </c>
      <c r="BV14">
        <v>5</v>
      </c>
      <c r="BW14">
        <f>CHOOSE(
    MATCH(
        LOWER(CLEAN(TRIM(AS15))),
        {"bachelor - graduated";"bachalor - second year";"bachelor - third year";"masters - second year";"masters - first year";"master - graduated";"bachalor - first year";"bachelor - fourth year";"doctoral degree - phd or equivalent"},
        0
    ),
    16,14,15,18,17,18,13,16,21
)</f>
        <v>18</v>
      </c>
      <c r="BY14">
        <v>5</v>
      </c>
      <c r="BZ14">
        <f t="shared" si="6"/>
        <v>0</v>
      </c>
    </row>
    <row r="15" spans="1:78" x14ac:dyDescent="0.2">
      <c r="A15" t="s">
        <v>351</v>
      </c>
      <c r="B15" t="s">
        <v>352</v>
      </c>
      <c r="C15" t="s">
        <v>48</v>
      </c>
      <c r="D15" t="s">
        <v>353</v>
      </c>
      <c r="E15" t="s">
        <v>84</v>
      </c>
      <c r="F15" t="s">
        <v>354</v>
      </c>
      <c r="G15" t="s">
        <v>86</v>
      </c>
      <c r="H15" t="s">
        <v>355</v>
      </c>
      <c r="I15" t="s">
        <v>356</v>
      </c>
      <c r="N15" t="s">
        <v>357</v>
      </c>
      <c r="O15" t="s">
        <v>358</v>
      </c>
      <c r="P15" t="s">
        <v>156</v>
      </c>
      <c r="Q15" t="s">
        <v>92</v>
      </c>
      <c r="T15">
        <v>0</v>
      </c>
      <c r="U15" t="s">
        <v>237</v>
      </c>
      <c r="V15" t="s">
        <v>93</v>
      </c>
      <c r="W15" t="s">
        <v>133</v>
      </c>
      <c r="X15" t="s">
        <v>237</v>
      </c>
      <c r="Y15" t="s">
        <v>237</v>
      </c>
      <c r="Z15" t="s">
        <v>108</v>
      </c>
      <c r="AA15" t="s">
        <v>174</v>
      </c>
      <c r="AB15">
        <v>5</v>
      </c>
      <c r="AC15">
        <v>15</v>
      </c>
      <c r="AD15">
        <v>80</v>
      </c>
      <c r="AE15">
        <v>0</v>
      </c>
      <c r="AF15" t="s">
        <v>99</v>
      </c>
      <c r="AG15" t="s">
        <v>100</v>
      </c>
      <c r="AH15" t="s">
        <v>196</v>
      </c>
      <c r="AI15" t="s">
        <v>171</v>
      </c>
      <c r="AJ15" t="s">
        <v>172</v>
      </c>
      <c r="AK15" t="s">
        <v>272</v>
      </c>
      <c r="AL15">
        <v>6</v>
      </c>
      <c r="AM15" t="s">
        <v>134</v>
      </c>
      <c r="AN15">
        <v>0</v>
      </c>
      <c r="AO15">
        <v>0</v>
      </c>
      <c r="AP15">
        <v>100</v>
      </c>
      <c r="AQ15">
        <v>0</v>
      </c>
      <c r="AR15" t="s">
        <v>105</v>
      </c>
      <c r="AS15" t="s">
        <v>199</v>
      </c>
      <c r="AW15">
        <f t="shared" si="7"/>
        <v>1</v>
      </c>
      <c r="AX15">
        <f t="shared" si="8"/>
        <v>1</v>
      </c>
      <c r="AY15">
        <f t="shared" si="9"/>
        <v>0</v>
      </c>
      <c r="AZ15">
        <f t="shared" si="10"/>
        <v>1</v>
      </c>
      <c r="BA15">
        <f t="shared" si="11"/>
        <v>1</v>
      </c>
      <c r="BB15">
        <f>SUM(AW15:BA15)</f>
        <v>4</v>
      </c>
      <c r="BC15" t="s">
        <v>272</v>
      </c>
      <c r="BE15">
        <f>MATCH(U16,{"Strongly disagree";"Disagree";"Somewhat disagree";"Neither agree nor disagree";"Somewhat agree";"Agree";"Strongly agree"},0)</f>
        <v>5</v>
      </c>
      <c r="BF15">
        <f>MATCH(W16,{"Strongly disagree";"Disagree";"Somewhat disagree";"Neither agree nor disagree";"Somewhat agree";"Agree";"Strongly agree"},0)</f>
        <v>4</v>
      </c>
      <c r="BG15">
        <f>MATCH(Y16,{"Strongly disagree";"Disagree";"Somewhat disagree";"Neither agree nor disagree";"Somewhat agree";"Agree";"Strongly agree"},0)</f>
        <v>5</v>
      </c>
      <c r="BI15">
        <f t="shared" si="1"/>
        <v>0.66666666666666663</v>
      </c>
      <c r="BJ15">
        <f t="shared" si="2"/>
        <v>0.5</v>
      </c>
      <c r="BK15">
        <f t="shared" si="3"/>
        <v>0.66666666666666663</v>
      </c>
      <c r="BP15">
        <f t="shared" si="4"/>
        <v>0.58333333333333326</v>
      </c>
      <c r="BQ15">
        <f t="shared" si="0"/>
        <v>0.61111111111111094</v>
      </c>
      <c r="BR15">
        <f t="shared" si="5"/>
        <v>0.375</v>
      </c>
      <c r="BS15">
        <f t="shared" si="12"/>
        <v>0</v>
      </c>
      <c r="BT15">
        <f>MATCH(LOWER(CLEAN(TRIM(AR16))),{"male";"female"},0)-1</f>
        <v>1</v>
      </c>
      <c r="BU15">
        <v>0</v>
      </c>
      <c r="BV15">
        <v>0</v>
      </c>
      <c r="BW15">
        <f>CHOOSE(
    MATCH(
        LOWER(CLEAN(TRIM(AS16))),
        {"bachelor - graduated";"bachalor - second year";"bachelor - third year";"masters - second year";"masters - first year";"master - graduated";"bachalor - first year";"bachelor - fourth year";"doctoral degree - phd or equivalent"},
        0
    ),
    16,14,15,18,17,18,13,16,21
)</f>
        <v>15</v>
      </c>
      <c r="BZ15">
        <f t="shared" si="6"/>
        <v>0</v>
      </c>
    </row>
    <row r="16" spans="1:78" x14ac:dyDescent="0.2">
      <c r="A16" t="s">
        <v>359</v>
      </c>
      <c r="B16" t="s">
        <v>360</v>
      </c>
      <c r="C16" t="s">
        <v>48</v>
      </c>
      <c r="D16" t="s">
        <v>361</v>
      </c>
      <c r="E16" t="s">
        <v>84</v>
      </c>
      <c r="F16" t="s">
        <v>362</v>
      </c>
      <c r="G16" t="s">
        <v>86</v>
      </c>
      <c r="H16" t="s">
        <v>363</v>
      </c>
      <c r="I16" t="s">
        <v>364</v>
      </c>
      <c r="N16" t="s">
        <v>365</v>
      </c>
      <c r="O16" t="s">
        <v>366</v>
      </c>
      <c r="P16" t="s">
        <v>156</v>
      </c>
      <c r="Q16" t="s">
        <v>92</v>
      </c>
      <c r="T16">
        <v>0</v>
      </c>
      <c r="U16" t="s">
        <v>237</v>
      </c>
      <c r="V16" t="s">
        <v>133</v>
      </c>
      <c r="W16" t="s">
        <v>94</v>
      </c>
      <c r="X16" t="s">
        <v>237</v>
      </c>
      <c r="Y16" t="s">
        <v>237</v>
      </c>
      <c r="Z16" t="s">
        <v>95</v>
      </c>
      <c r="AB16">
        <v>50</v>
      </c>
      <c r="AC16">
        <v>20</v>
      </c>
      <c r="AD16">
        <v>10</v>
      </c>
      <c r="AE16">
        <v>20</v>
      </c>
      <c r="AF16" t="s">
        <v>137</v>
      </c>
      <c r="AG16" t="s">
        <v>137</v>
      </c>
      <c r="AH16" t="s">
        <v>137</v>
      </c>
      <c r="AI16" t="s">
        <v>137</v>
      </c>
      <c r="AJ16" t="s">
        <v>137</v>
      </c>
      <c r="AK16" t="s">
        <v>367</v>
      </c>
      <c r="AR16" t="s">
        <v>198</v>
      </c>
      <c r="AS16" t="s">
        <v>177</v>
      </c>
      <c r="AW16">
        <f t="shared" si="7"/>
        <v>0</v>
      </c>
      <c r="AX16">
        <f t="shared" si="8"/>
        <v>0</v>
      </c>
      <c r="AY16">
        <f t="shared" si="9"/>
        <v>0</v>
      </c>
      <c r="AZ16">
        <f t="shared" si="10"/>
        <v>0</v>
      </c>
      <c r="BA16">
        <f t="shared" si="11"/>
        <v>0</v>
      </c>
      <c r="BB16">
        <f>SUM(AW16:BA16)</f>
        <v>0</v>
      </c>
      <c r="BC16" t="s">
        <v>367</v>
      </c>
      <c r="BE16">
        <f>MATCH(U17,{"Strongly disagree";"Disagree";"Somewhat disagree";"Neither agree nor disagree";"Somewhat agree";"Agree";"Strongly agree"},0)</f>
        <v>6</v>
      </c>
      <c r="BF16">
        <f>MATCH(W17,{"Strongly disagree";"Disagree";"Somewhat disagree";"Neither agree nor disagree";"Somewhat agree";"Agree";"Strongly agree"},0)</f>
        <v>5</v>
      </c>
      <c r="BG16">
        <f>MATCH(Y17,{"Strongly disagree";"Disagree";"Somewhat disagree";"Neither agree nor disagree";"Somewhat agree";"Agree";"Strongly agree"},0)</f>
        <v>2</v>
      </c>
      <c r="BI16">
        <f t="shared" si="1"/>
        <v>0.83333333333333337</v>
      </c>
      <c r="BJ16">
        <f t="shared" si="2"/>
        <v>0.66666666666666663</v>
      </c>
      <c r="BK16">
        <f t="shared" si="3"/>
        <v>0.16666666666666666</v>
      </c>
      <c r="BP16">
        <f t="shared" si="4"/>
        <v>0.58333333333333348</v>
      </c>
      <c r="BQ16">
        <f t="shared" si="0"/>
        <v>0.44444444444444453</v>
      </c>
      <c r="BR16">
        <f t="shared" si="5"/>
        <v>0.3</v>
      </c>
      <c r="BS16">
        <f t="shared" si="12"/>
        <v>0.35</v>
      </c>
      <c r="BT16">
        <f>MATCH(LOWER(CLEAN(TRIM(AR17))),{"male";"female"},0)-1</f>
        <v>1</v>
      </c>
      <c r="BU16">
        <v>2</v>
      </c>
      <c r="BV16">
        <v>3</v>
      </c>
      <c r="BW16">
        <f>CHOOSE(
    MATCH(
        LOWER(CLEAN(TRIM(AS17))),
        {"bachelor - graduated";"bachalor - second year";"bachelor - third year";"masters - second year";"masters - first year";"master - graduated";"bachalor - first year";"bachelor - fourth year";"doctoral degree - phd or equivalent"},
        0
    ),
    16,14,15,18,17,18,13,16,21
)</f>
        <v>18</v>
      </c>
      <c r="BX16">
        <f t="shared" si="13"/>
        <v>-0.75</v>
      </c>
      <c r="BY16">
        <v>3</v>
      </c>
      <c r="BZ16">
        <f t="shared" si="6"/>
        <v>0</v>
      </c>
    </row>
    <row r="17" spans="1:78" x14ac:dyDescent="0.2">
      <c r="A17" t="s">
        <v>398</v>
      </c>
      <c r="B17" t="s">
        <v>399</v>
      </c>
      <c r="C17" t="s">
        <v>48</v>
      </c>
      <c r="D17" t="s">
        <v>400</v>
      </c>
      <c r="E17" t="s">
        <v>84</v>
      </c>
      <c r="F17" t="s">
        <v>401</v>
      </c>
      <c r="G17" t="s">
        <v>86</v>
      </c>
      <c r="H17" t="s">
        <v>402</v>
      </c>
      <c r="I17" t="s">
        <v>403</v>
      </c>
      <c r="N17" t="s">
        <v>258</v>
      </c>
      <c r="O17" t="s">
        <v>259</v>
      </c>
      <c r="P17" t="s">
        <v>156</v>
      </c>
      <c r="Q17" t="s">
        <v>92</v>
      </c>
      <c r="T17">
        <v>0</v>
      </c>
      <c r="U17" t="s">
        <v>93</v>
      </c>
      <c r="V17" t="s">
        <v>165</v>
      </c>
      <c r="W17" t="s">
        <v>237</v>
      </c>
      <c r="X17" t="s">
        <v>167</v>
      </c>
      <c r="Y17" t="s">
        <v>167</v>
      </c>
      <c r="Z17" t="s">
        <v>108</v>
      </c>
      <c r="AA17" t="s">
        <v>194</v>
      </c>
      <c r="AB17">
        <v>70</v>
      </c>
      <c r="AC17">
        <v>0</v>
      </c>
      <c r="AD17">
        <v>0</v>
      </c>
      <c r="AE17">
        <v>30</v>
      </c>
      <c r="AF17" t="s">
        <v>169</v>
      </c>
      <c r="AG17" t="s">
        <v>100</v>
      </c>
      <c r="AH17" t="s">
        <v>196</v>
      </c>
      <c r="AI17" t="s">
        <v>171</v>
      </c>
      <c r="AJ17" t="s">
        <v>139</v>
      </c>
      <c r="AK17" t="s">
        <v>197</v>
      </c>
      <c r="AL17">
        <v>6</v>
      </c>
      <c r="AM17" t="s">
        <v>227</v>
      </c>
      <c r="AN17">
        <v>70</v>
      </c>
      <c r="AO17">
        <v>0</v>
      </c>
      <c r="AP17">
        <v>0</v>
      </c>
      <c r="AQ17">
        <v>30</v>
      </c>
      <c r="AR17" t="s">
        <v>198</v>
      </c>
      <c r="AS17" t="s">
        <v>199</v>
      </c>
      <c r="AW17">
        <f t="shared" si="7"/>
        <v>0</v>
      </c>
      <c r="AX17">
        <f t="shared" si="8"/>
        <v>1</v>
      </c>
      <c r="AY17">
        <f t="shared" si="9"/>
        <v>0</v>
      </c>
      <c r="AZ17">
        <f t="shared" si="10"/>
        <v>1</v>
      </c>
      <c r="BA17">
        <f t="shared" si="11"/>
        <v>0</v>
      </c>
      <c r="BB17">
        <f>SUM(AW17:BA17)</f>
        <v>2</v>
      </c>
      <c r="BC17" t="s">
        <v>197</v>
      </c>
      <c r="BE17">
        <f>MATCH(U18,{"Strongly disagree";"Disagree";"Somewhat disagree";"Neither agree nor disagree";"Somewhat agree";"Agree";"Strongly agree"},0)</f>
        <v>6</v>
      </c>
      <c r="BF17">
        <f>MATCH(W18,{"Strongly disagree";"Disagree";"Somewhat disagree";"Neither agree nor disagree";"Somewhat agree";"Agree";"Strongly agree"},0)</f>
        <v>3</v>
      </c>
      <c r="BG17">
        <f>MATCH(Y18,{"Strongly disagree";"Disagree";"Somewhat disagree";"Neither agree nor disagree";"Somewhat agree";"Agree";"Strongly agree"},0)</f>
        <v>2</v>
      </c>
      <c r="BI17">
        <f t="shared" si="1"/>
        <v>0.83333333333333337</v>
      </c>
      <c r="BJ17">
        <f t="shared" si="2"/>
        <v>0.33333333333333331</v>
      </c>
      <c r="BK17">
        <f t="shared" si="3"/>
        <v>0.16666666666666666</v>
      </c>
      <c r="BP17">
        <f t="shared" si="4"/>
        <v>0.75000000000000011</v>
      </c>
      <c r="BQ17">
        <f t="shared" si="0"/>
        <v>0.55555555555555558</v>
      </c>
      <c r="BR17">
        <f t="shared" si="5"/>
        <v>0.25</v>
      </c>
      <c r="BS17">
        <f t="shared" si="12"/>
        <v>0.55000000000000004</v>
      </c>
      <c r="BT17">
        <f>MATCH(LOWER(CLEAN(TRIM(AR18))),{"male";"female"},0)-1</f>
        <v>1</v>
      </c>
      <c r="BU17">
        <v>3</v>
      </c>
      <c r="BV17">
        <v>2</v>
      </c>
      <c r="BW17">
        <f>CHOOSE(
    MATCH(
        LOWER(CLEAN(TRIM(AS18))),
        {"bachelor - graduated";"bachalor - second year";"bachelor - third year";"masters - second year";"masters - first year";"master - graduated";"bachalor - first year";"bachelor - fourth year";"doctoral degree - phd or equivalent"},
        0
    ),
    16,14,15,18,17,18,13,16,21
)</f>
        <v>16</v>
      </c>
      <c r="BX17">
        <f t="shared" si="13"/>
        <v>-1.75</v>
      </c>
      <c r="BY17">
        <v>3</v>
      </c>
      <c r="BZ17">
        <f t="shared" si="6"/>
        <v>0</v>
      </c>
    </row>
    <row r="18" spans="1:78" x14ac:dyDescent="0.2">
      <c r="A18" t="s">
        <v>404</v>
      </c>
      <c r="B18" t="s">
        <v>405</v>
      </c>
      <c r="C18" t="s">
        <v>48</v>
      </c>
      <c r="D18" t="s">
        <v>406</v>
      </c>
      <c r="E18" t="s">
        <v>84</v>
      </c>
      <c r="F18" t="s">
        <v>407</v>
      </c>
      <c r="G18" t="s">
        <v>86</v>
      </c>
      <c r="H18" t="s">
        <v>408</v>
      </c>
      <c r="I18" t="s">
        <v>409</v>
      </c>
      <c r="N18" t="s">
        <v>206</v>
      </c>
      <c r="O18" t="s">
        <v>207</v>
      </c>
      <c r="P18" t="s">
        <v>156</v>
      </c>
      <c r="Q18" t="s">
        <v>92</v>
      </c>
      <c r="T18">
        <v>0</v>
      </c>
      <c r="U18" t="s">
        <v>93</v>
      </c>
      <c r="V18" t="s">
        <v>93</v>
      </c>
      <c r="W18" t="s">
        <v>133</v>
      </c>
      <c r="X18" t="s">
        <v>167</v>
      </c>
      <c r="Y18" t="s">
        <v>167</v>
      </c>
      <c r="Z18" t="s">
        <v>108</v>
      </c>
      <c r="AA18" t="s">
        <v>194</v>
      </c>
      <c r="AB18">
        <v>70</v>
      </c>
      <c r="AC18">
        <v>0</v>
      </c>
      <c r="AD18">
        <v>20</v>
      </c>
      <c r="AE18">
        <v>10</v>
      </c>
      <c r="AF18" t="s">
        <v>169</v>
      </c>
      <c r="AG18" t="s">
        <v>100</v>
      </c>
      <c r="AH18" t="s">
        <v>170</v>
      </c>
      <c r="AI18" t="s">
        <v>171</v>
      </c>
      <c r="AJ18" t="s">
        <v>325</v>
      </c>
      <c r="AK18" t="s">
        <v>104</v>
      </c>
      <c r="AL18">
        <v>5</v>
      </c>
      <c r="AM18" t="s">
        <v>227</v>
      </c>
      <c r="AN18">
        <v>70</v>
      </c>
      <c r="AO18">
        <v>0</v>
      </c>
      <c r="AP18">
        <v>20</v>
      </c>
      <c r="AQ18">
        <v>10</v>
      </c>
      <c r="AR18" t="s">
        <v>198</v>
      </c>
      <c r="AS18" t="s">
        <v>106</v>
      </c>
      <c r="AW18">
        <f t="shared" si="7"/>
        <v>0</v>
      </c>
      <c r="AX18">
        <f t="shared" si="8"/>
        <v>1</v>
      </c>
      <c r="AY18">
        <f t="shared" si="9"/>
        <v>1</v>
      </c>
      <c r="AZ18">
        <f t="shared" si="10"/>
        <v>1</v>
      </c>
      <c r="BA18">
        <f t="shared" si="11"/>
        <v>0</v>
      </c>
      <c r="BB18">
        <f>SUM(AW18:BA18)</f>
        <v>3</v>
      </c>
      <c r="BC18" t="s">
        <v>104</v>
      </c>
      <c r="BE18">
        <f>MATCH(U19,{"Strongly disagree";"Disagree";"Somewhat disagree";"Neither agree nor disagree";"Somewhat agree";"Agree";"Strongly agree"},0)</f>
        <v>6</v>
      </c>
      <c r="BF18">
        <f>MATCH(W19,{"Strongly disagree";"Disagree";"Somewhat disagree";"Neither agree nor disagree";"Somewhat agree";"Agree";"Strongly agree"},0)</f>
        <v>2</v>
      </c>
      <c r="BG18">
        <f>MATCH(Y19,{"Strongly disagree";"Disagree";"Somewhat disagree";"Neither agree nor disagree";"Somewhat agree";"Agree";"Strongly agree"},0)</f>
        <v>6</v>
      </c>
      <c r="BI18">
        <f t="shared" si="1"/>
        <v>0.83333333333333337</v>
      </c>
      <c r="BJ18">
        <f t="shared" si="2"/>
        <v>0.16666666666666666</v>
      </c>
      <c r="BK18">
        <f t="shared" si="3"/>
        <v>0.83333333333333337</v>
      </c>
      <c r="BP18">
        <f t="shared" si="4"/>
        <v>0.83333333333333337</v>
      </c>
      <c r="BQ18">
        <f t="shared" si="0"/>
        <v>0.83333333333333326</v>
      </c>
      <c r="BR18">
        <f t="shared" si="5"/>
        <v>0.375</v>
      </c>
      <c r="BS18">
        <f t="shared" si="12"/>
        <v>0</v>
      </c>
      <c r="BT18">
        <f>MATCH(LOWER(CLEAN(TRIM(AR19))),{"male";"female"},0)-1</f>
        <v>1</v>
      </c>
      <c r="BU18">
        <v>5</v>
      </c>
      <c r="BV18">
        <v>2</v>
      </c>
      <c r="BW18">
        <f>CHOOSE(
    MATCH(
        LOWER(CLEAN(TRIM(AS19))),
        {"bachelor - graduated";"bachalor - second year";"bachelor - third year";"masters - second year";"masters - first year";"master - graduated";"bachalor - first year";"bachelor - fourth year";"doctoral degree - phd or equivalent"},
        0
    ),
    16,14,15,18,17,18,13,16,21
)</f>
        <v>18</v>
      </c>
      <c r="BX18">
        <f t="shared" si="13"/>
        <v>1.25</v>
      </c>
      <c r="BZ18">
        <f t="shared" si="6"/>
        <v>0</v>
      </c>
    </row>
    <row r="19" spans="1:78" x14ac:dyDescent="0.2">
      <c r="A19" t="s">
        <v>426</v>
      </c>
      <c r="B19" t="s">
        <v>427</v>
      </c>
      <c r="C19" t="s">
        <v>48</v>
      </c>
      <c r="D19" t="s">
        <v>428</v>
      </c>
      <c r="E19" t="s">
        <v>84</v>
      </c>
      <c r="F19" t="s">
        <v>429</v>
      </c>
      <c r="G19" t="s">
        <v>86</v>
      </c>
      <c r="H19" t="s">
        <v>430</v>
      </c>
      <c r="I19" t="s">
        <v>431</v>
      </c>
      <c r="N19" t="s">
        <v>119</v>
      </c>
      <c r="O19" t="s">
        <v>120</v>
      </c>
      <c r="P19" t="s">
        <v>156</v>
      </c>
      <c r="Q19" t="s">
        <v>92</v>
      </c>
      <c r="T19">
        <v>0</v>
      </c>
      <c r="U19" t="s">
        <v>93</v>
      </c>
      <c r="V19" t="s">
        <v>93</v>
      </c>
      <c r="W19" t="s">
        <v>167</v>
      </c>
      <c r="X19" t="s">
        <v>165</v>
      </c>
      <c r="Y19" t="s">
        <v>93</v>
      </c>
      <c r="Z19" t="s">
        <v>95</v>
      </c>
      <c r="AB19">
        <v>40</v>
      </c>
      <c r="AC19">
        <v>40</v>
      </c>
      <c r="AD19">
        <v>10</v>
      </c>
      <c r="AE19">
        <v>10</v>
      </c>
      <c r="AF19" t="s">
        <v>99</v>
      </c>
      <c r="AG19" t="s">
        <v>100</v>
      </c>
      <c r="AH19" t="s">
        <v>170</v>
      </c>
      <c r="AI19" t="s">
        <v>171</v>
      </c>
      <c r="AJ19" t="s">
        <v>172</v>
      </c>
      <c r="AK19" t="s">
        <v>104</v>
      </c>
      <c r="AL19">
        <v>8</v>
      </c>
      <c r="AR19" t="s">
        <v>198</v>
      </c>
      <c r="AS19" t="s">
        <v>199</v>
      </c>
      <c r="AW19">
        <f t="shared" si="7"/>
        <v>1</v>
      </c>
      <c r="AX19">
        <f t="shared" si="8"/>
        <v>1</v>
      </c>
      <c r="AY19">
        <f t="shared" si="9"/>
        <v>1</v>
      </c>
      <c r="AZ19">
        <f t="shared" si="10"/>
        <v>1</v>
      </c>
      <c r="BA19">
        <f t="shared" si="11"/>
        <v>1</v>
      </c>
      <c r="BB19">
        <f>SUM(AW19:BA19)</f>
        <v>5</v>
      </c>
      <c r="BC19" t="s">
        <v>104</v>
      </c>
      <c r="BE19">
        <f>MATCH(U20,{"Strongly disagree";"Disagree";"Somewhat disagree";"Neither agree nor disagree";"Somewhat agree";"Agree";"Strongly agree"},0)</f>
        <v>3</v>
      </c>
      <c r="BF19">
        <f>MATCH(W20,{"Strongly disagree";"Disagree";"Somewhat disagree";"Neither agree nor disagree";"Somewhat agree";"Agree";"Strongly agree"},0)</f>
        <v>4</v>
      </c>
      <c r="BG19">
        <f>MATCH(Y20,{"Strongly disagree";"Disagree";"Somewhat disagree";"Neither agree nor disagree";"Somewhat agree";"Agree";"Strongly agree"},0)</f>
        <v>5</v>
      </c>
      <c r="BI19">
        <f t="shared" si="1"/>
        <v>0.33333333333333331</v>
      </c>
      <c r="BJ19">
        <f t="shared" si="2"/>
        <v>0.5</v>
      </c>
      <c r="BK19">
        <f t="shared" si="3"/>
        <v>0.66666666666666663</v>
      </c>
      <c r="BP19">
        <f t="shared" si="4"/>
        <v>0.41666666666666663</v>
      </c>
      <c r="BQ19">
        <f t="shared" si="0"/>
        <v>0.5</v>
      </c>
      <c r="BR19">
        <f t="shared" si="5"/>
        <v>0.4</v>
      </c>
      <c r="BS19">
        <f t="shared" si="12"/>
        <v>0.2</v>
      </c>
      <c r="BT19">
        <f>MATCH(LOWER(CLEAN(TRIM(AR20))),{"male";"female"},0)-1</f>
        <v>1</v>
      </c>
      <c r="BU19">
        <v>1</v>
      </c>
      <c r="BV19">
        <v>2</v>
      </c>
      <c r="BW19">
        <f>CHOOSE(
    MATCH(
        LOWER(CLEAN(TRIM(AS20))),
        {"bachelor - graduated";"bachalor - second year";"bachelor - third year";"masters - second year";"masters - first year";"master - graduated";"bachalor - first year";"bachelor - fourth year";"doctoral degree - phd or equivalent"},
        0
    ),
    16,14,15,18,17,18,13,16,21
)</f>
        <v>17</v>
      </c>
      <c r="BY19">
        <v>4</v>
      </c>
      <c r="BZ19">
        <f t="shared" si="6"/>
        <v>0</v>
      </c>
    </row>
    <row r="20" spans="1:78" x14ac:dyDescent="0.2">
      <c r="A20" t="s">
        <v>447</v>
      </c>
      <c r="B20" t="s">
        <v>448</v>
      </c>
      <c r="C20" t="s">
        <v>48</v>
      </c>
      <c r="D20" t="s">
        <v>449</v>
      </c>
      <c r="E20" t="s">
        <v>84</v>
      </c>
      <c r="F20" t="s">
        <v>450</v>
      </c>
      <c r="G20" t="s">
        <v>86</v>
      </c>
      <c r="H20" t="s">
        <v>451</v>
      </c>
      <c r="I20" t="s">
        <v>452</v>
      </c>
      <c r="N20" t="s">
        <v>453</v>
      </c>
      <c r="O20" t="s">
        <v>454</v>
      </c>
      <c r="P20" t="s">
        <v>156</v>
      </c>
      <c r="Q20" t="s">
        <v>92</v>
      </c>
      <c r="T20">
        <v>0</v>
      </c>
      <c r="U20" t="s">
        <v>133</v>
      </c>
      <c r="V20" t="s">
        <v>237</v>
      </c>
      <c r="W20" t="s">
        <v>94</v>
      </c>
      <c r="X20" t="s">
        <v>133</v>
      </c>
      <c r="Y20" t="s">
        <v>237</v>
      </c>
      <c r="Z20" t="s">
        <v>108</v>
      </c>
      <c r="AA20" t="s">
        <v>455</v>
      </c>
      <c r="AB20">
        <v>60</v>
      </c>
      <c r="AC20">
        <v>0</v>
      </c>
      <c r="AD20">
        <v>0</v>
      </c>
      <c r="AE20">
        <v>40</v>
      </c>
      <c r="AF20" t="s">
        <v>137</v>
      </c>
      <c r="AG20" t="s">
        <v>100</v>
      </c>
      <c r="AH20" t="s">
        <v>137</v>
      </c>
      <c r="AI20" t="s">
        <v>137</v>
      </c>
      <c r="AJ20" t="s">
        <v>139</v>
      </c>
      <c r="AK20" t="s">
        <v>104</v>
      </c>
      <c r="AM20" t="s">
        <v>107</v>
      </c>
      <c r="AN20">
        <v>40</v>
      </c>
      <c r="AO20">
        <v>0</v>
      </c>
      <c r="AP20">
        <v>0</v>
      </c>
      <c r="AQ20">
        <v>30</v>
      </c>
      <c r="AR20" t="s">
        <v>198</v>
      </c>
      <c r="AS20" t="s">
        <v>456</v>
      </c>
      <c r="AW20">
        <f t="shared" si="7"/>
        <v>0</v>
      </c>
      <c r="AX20">
        <f t="shared" si="8"/>
        <v>1</v>
      </c>
      <c r="AY20">
        <f t="shared" si="9"/>
        <v>0</v>
      </c>
      <c r="AZ20">
        <f t="shared" si="10"/>
        <v>0</v>
      </c>
      <c r="BA20">
        <f t="shared" si="11"/>
        <v>0</v>
      </c>
      <c r="BB20">
        <f>SUM(AW20:BA20)</f>
        <v>1</v>
      </c>
      <c r="BC20" t="s">
        <v>104</v>
      </c>
      <c r="BE20">
        <f>MATCH(U21,{"Strongly disagree";"Disagree";"Somewhat disagree";"Neither agree nor disagree";"Somewhat agree";"Agree";"Strongly agree"},0)</f>
        <v>6</v>
      </c>
      <c r="BF20">
        <f>MATCH(W21,{"Strongly disagree";"Disagree";"Somewhat disagree";"Neither agree nor disagree";"Somewhat agree";"Agree";"Strongly agree"},0)</f>
        <v>2</v>
      </c>
      <c r="BG20">
        <f>MATCH(Y21,{"Strongly disagree";"Disagree";"Somewhat disagree";"Neither agree nor disagree";"Somewhat agree";"Agree";"Strongly agree"},0)</f>
        <v>6</v>
      </c>
      <c r="BI20">
        <f t="shared" si="1"/>
        <v>0.83333333333333337</v>
      </c>
      <c r="BJ20">
        <f t="shared" si="2"/>
        <v>0.16666666666666666</v>
      </c>
      <c r="BK20">
        <f t="shared" si="3"/>
        <v>0.83333333333333337</v>
      </c>
      <c r="BP20">
        <f t="shared" si="4"/>
        <v>0.83333333333333337</v>
      </c>
      <c r="BQ20">
        <f t="shared" si="0"/>
        <v>0.83333333333333326</v>
      </c>
      <c r="BR20">
        <f t="shared" si="5"/>
        <v>0.71250000000000002</v>
      </c>
      <c r="BS20">
        <f t="shared" si="12"/>
        <v>0.45</v>
      </c>
      <c r="BT20">
        <f>MATCH(LOWER(CLEAN(TRIM(AR21))),{"male";"female"},0)-1</f>
        <v>0</v>
      </c>
      <c r="BU20">
        <v>3</v>
      </c>
      <c r="BV20">
        <v>3</v>
      </c>
      <c r="BW20">
        <f>CHOOSE(
    MATCH(
        LOWER(CLEAN(TRIM(AS21))),
        {"bachelor - graduated";"bachalor - second year";"bachelor - third year";"masters - second year";"masters - first year";"master - graduated";"bachalor - first year";"bachelor - fourth year";"doctoral degree - phd or equivalent"},
        0
    ),
    16,14,15,18,17,18,13,16,21
)</f>
        <v>18</v>
      </c>
      <c r="BX20">
        <f t="shared" si="13"/>
        <v>3.25</v>
      </c>
      <c r="BY20">
        <v>6</v>
      </c>
      <c r="BZ20">
        <f t="shared" si="6"/>
        <v>0</v>
      </c>
    </row>
    <row r="21" spans="1:78" x14ac:dyDescent="0.2">
      <c r="A21" t="s">
        <v>457</v>
      </c>
      <c r="B21" t="s">
        <v>458</v>
      </c>
      <c r="C21" t="s">
        <v>48</v>
      </c>
      <c r="D21" t="s">
        <v>459</v>
      </c>
      <c r="E21" t="s">
        <v>84</v>
      </c>
      <c r="F21" t="s">
        <v>460</v>
      </c>
      <c r="G21" t="s">
        <v>86</v>
      </c>
      <c r="H21" t="s">
        <v>461</v>
      </c>
      <c r="I21" t="s">
        <v>462</v>
      </c>
      <c r="N21" t="s">
        <v>463</v>
      </c>
      <c r="O21" t="s">
        <v>464</v>
      </c>
      <c r="P21" t="s">
        <v>156</v>
      </c>
      <c r="Q21" t="s">
        <v>92</v>
      </c>
      <c r="T21">
        <v>0</v>
      </c>
      <c r="U21" t="s">
        <v>93</v>
      </c>
      <c r="V21" t="s">
        <v>165</v>
      </c>
      <c r="W21" t="s">
        <v>167</v>
      </c>
      <c r="X21" t="s">
        <v>167</v>
      </c>
      <c r="Y21" t="s">
        <v>93</v>
      </c>
      <c r="Z21" t="s">
        <v>108</v>
      </c>
      <c r="AA21" t="s">
        <v>218</v>
      </c>
      <c r="AB21">
        <v>20</v>
      </c>
      <c r="AC21">
        <v>0</v>
      </c>
      <c r="AD21">
        <v>35</v>
      </c>
      <c r="AE21">
        <v>45</v>
      </c>
      <c r="AF21" t="s">
        <v>169</v>
      </c>
      <c r="AG21" t="s">
        <v>100</v>
      </c>
      <c r="AH21" t="s">
        <v>101</v>
      </c>
      <c r="AI21" t="s">
        <v>171</v>
      </c>
      <c r="AJ21" t="s">
        <v>172</v>
      </c>
      <c r="AK21" t="s">
        <v>197</v>
      </c>
      <c r="AL21">
        <v>10</v>
      </c>
      <c r="AM21" t="s">
        <v>97</v>
      </c>
      <c r="AN21">
        <v>20</v>
      </c>
      <c r="AO21">
        <v>0</v>
      </c>
      <c r="AP21">
        <v>35</v>
      </c>
      <c r="AQ21">
        <v>45</v>
      </c>
      <c r="AR21" t="s">
        <v>105</v>
      </c>
      <c r="AS21" t="s">
        <v>326</v>
      </c>
      <c r="AW21">
        <f t="shared" si="7"/>
        <v>0</v>
      </c>
      <c r="AX21">
        <f t="shared" si="8"/>
        <v>1</v>
      </c>
      <c r="AY21">
        <f t="shared" si="9"/>
        <v>0</v>
      </c>
      <c r="AZ21">
        <f t="shared" si="10"/>
        <v>1</v>
      </c>
      <c r="BA21">
        <f t="shared" si="11"/>
        <v>1</v>
      </c>
      <c r="BB21">
        <f>SUM(AW21:BA21)</f>
        <v>3</v>
      </c>
      <c r="BC21" t="s">
        <v>197</v>
      </c>
      <c r="BE21">
        <f>MATCH(U22,{"Strongly disagree";"Disagree";"Somewhat disagree";"Neither agree nor disagree";"Somewhat agree";"Agree";"Strongly agree"},0)</f>
        <v>2</v>
      </c>
      <c r="BF21">
        <f>MATCH(W22,{"Strongly disagree";"Disagree";"Somewhat disagree";"Neither agree nor disagree";"Somewhat agree";"Agree";"Strongly agree"},0)</f>
        <v>3</v>
      </c>
      <c r="BG21">
        <f>MATCH(Y22,{"Strongly disagree";"Disagree";"Somewhat disagree";"Neither agree nor disagree";"Somewhat agree";"Agree";"Strongly agree"},0)</f>
        <v>2</v>
      </c>
      <c r="BI21">
        <f t="shared" si="1"/>
        <v>0.16666666666666666</v>
      </c>
      <c r="BJ21">
        <f t="shared" si="2"/>
        <v>0.33333333333333331</v>
      </c>
      <c r="BK21">
        <f t="shared" si="3"/>
        <v>0.16666666666666666</v>
      </c>
      <c r="BP21">
        <f t="shared" si="4"/>
        <v>0.41666666666666674</v>
      </c>
      <c r="BQ21">
        <f t="shared" si="0"/>
        <v>0.33333333333333337</v>
      </c>
      <c r="BR21">
        <f t="shared" si="5"/>
        <v>0</v>
      </c>
      <c r="BT21">
        <f>MATCH(LOWER(CLEAN(TRIM(AR22))),{"male";"female"},0)-1</f>
        <v>1</v>
      </c>
      <c r="BU21">
        <v>1</v>
      </c>
      <c r="BV21">
        <v>2</v>
      </c>
      <c r="BW21">
        <f>CHOOSE(
    MATCH(
        LOWER(CLEAN(TRIM(AS22))),
        {"bachelor - graduated";"bachalor - second year";"bachelor - third year";"masters - second year";"masters - first year";"master - graduated";"bachalor - first year";"bachelor - fourth year";"doctoral degree - phd or equivalent"},
        0
    ),
    16,14,15,18,17,18,13,16,21
)</f>
        <v>18</v>
      </c>
      <c r="BX21">
        <f t="shared" si="13"/>
        <v>-6.75</v>
      </c>
      <c r="BZ21">
        <f t="shared" si="6"/>
        <v>0</v>
      </c>
    </row>
    <row r="22" spans="1:78" x14ac:dyDescent="0.2">
      <c r="A22" t="s">
        <v>479</v>
      </c>
      <c r="B22" t="s">
        <v>480</v>
      </c>
      <c r="C22" t="s">
        <v>48</v>
      </c>
      <c r="D22" t="s">
        <v>481</v>
      </c>
      <c r="E22" t="s">
        <v>84</v>
      </c>
      <c r="F22" t="s">
        <v>482</v>
      </c>
      <c r="G22" t="s">
        <v>86</v>
      </c>
      <c r="H22" t="s">
        <v>483</v>
      </c>
      <c r="I22" t="s">
        <v>484</v>
      </c>
      <c r="N22" t="s">
        <v>438</v>
      </c>
      <c r="O22" t="s">
        <v>439</v>
      </c>
      <c r="P22" t="s">
        <v>156</v>
      </c>
      <c r="Q22" t="s">
        <v>92</v>
      </c>
      <c r="T22">
        <v>0</v>
      </c>
      <c r="U22" t="s">
        <v>167</v>
      </c>
      <c r="V22" t="s">
        <v>93</v>
      </c>
      <c r="W22" t="s">
        <v>133</v>
      </c>
      <c r="X22" t="s">
        <v>93</v>
      </c>
      <c r="Y22" t="s">
        <v>167</v>
      </c>
      <c r="Z22" t="s">
        <v>95</v>
      </c>
      <c r="AB22">
        <v>100</v>
      </c>
      <c r="AC22">
        <v>0</v>
      </c>
      <c r="AD22">
        <v>0</v>
      </c>
      <c r="AE22">
        <v>0</v>
      </c>
      <c r="AF22" t="s">
        <v>137</v>
      </c>
      <c r="AG22" t="s">
        <v>100</v>
      </c>
      <c r="AH22" t="s">
        <v>101</v>
      </c>
      <c r="AI22" t="s">
        <v>137</v>
      </c>
      <c r="AJ22" t="s">
        <v>137</v>
      </c>
      <c r="AK22" t="s">
        <v>104</v>
      </c>
      <c r="AR22" t="s">
        <v>198</v>
      </c>
      <c r="AS22" t="s">
        <v>326</v>
      </c>
      <c r="AW22">
        <f t="shared" si="7"/>
        <v>0</v>
      </c>
      <c r="AX22">
        <f t="shared" si="8"/>
        <v>1</v>
      </c>
      <c r="AY22">
        <f t="shared" si="9"/>
        <v>0</v>
      </c>
      <c r="AZ22">
        <f t="shared" si="10"/>
        <v>0</v>
      </c>
      <c r="BA22">
        <f t="shared" si="11"/>
        <v>0</v>
      </c>
      <c r="BB22">
        <f>SUM(AW22:BA22)</f>
        <v>1</v>
      </c>
      <c r="BC22" t="s">
        <v>104</v>
      </c>
      <c r="BE22">
        <f>MATCH(U23,{"Strongly disagree";"Disagree";"Somewhat disagree";"Neither agree nor disagree";"Somewhat agree";"Agree";"Strongly agree"},0)</f>
        <v>6</v>
      </c>
      <c r="BF22">
        <f>MATCH(W23,{"Strongly disagree";"Disagree";"Somewhat disagree";"Neither agree nor disagree";"Somewhat agree";"Agree";"Strongly agree"},0)</f>
        <v>2</v>
      </c>
      <c r="BG22">
        <f>MATCH(Y23,{"Strongly disagree";"Disagree";"Somewhat disagree";"Neither agree nor disagree";"Somewhat agree";"Agree";"Strongly agree"},0)</f>
        <v>6</v>
      </c>
      <c r="BI22">
        <f t="shared" si="1"/>
        <v>0.83333333333333337</v>
      </c>
      <c r="BJ22">
        <f t="shared" si="2"/>
        <v>0.16666666666666666</v>
      </c>
      <c r="BK22">
        <f t="shared" si="3"/>
        <v>0.83333333333333337</v>
      </c>
      <c r="BP22">
        <f t="shared" si="4"/>
        <v>0.83333333333333337</v>
      </c>
      <c r="BQ22">
        <f t="shared" si="0"/>
        <v>0.83333333333333326</v>
      </c>
      <c r="BR22">
        <f t="shared" si="5"/>
        <v>0.7</v>
      </c>
      <c r="BS22">
        <f t="shared" si="12"/>
        <v>0.15</v>
      </c>
      <c r="BT22">
        <f>MATCH(LOWER(CLEAN(TRIM(AR23))),{"male";"female"},0)-1</f>
        <v>0</v>
      </c>
      <c r="BU22">
        <v>3</v>
      </c>
      <c r="BV22">
        <v>4</v>
      </c>
      <c r="BW22">
        <f>CHOOSE(
    MATCH(
        LOWER(CLEAN(TRIM(AS23))),
        {"bachelor - graduated";"bachalor - second year";"bachelor - third year";"masters - second year";"masters - first year";"master - graduated";"bachalor - first year";"bachelor - fourth year";"doctoral degree - phd or equivalent"},
        0
    ),
    16,14,15,18,17,18,13,16,21
)</f>
        <v>18</v>
      </c>
      <c r="BX22">
        <f t="shared" si="13"/>
        <v>-3.75</v>
      </c>
      <c r="BY22">
        <v>5</v>
      </c>
      <c r="BZ22">
        <f t="shared" si="6"/>
        <v>0</v>
      </c>
    </row>
    <row r="23" spans="1:78" x14ac:dyDescent="0.2">
      <c r="A23" t="s">
        <v>485</v>
      </c>
      <c r="B23" t="s">
        <v>486</v>
      </c>
      <c r="C23" t="s">
        <v>48</v>
      </c>
      <c r="D23" t="s">
        <v>487</v>
      </c>
      <c r="E23" t="s">
        <v>84</v>
      </c>
      <c r="F23" t="s">
        <v>488</v>
      </c>
      <c r="G23" t="s">
        <v>86</v>
      </c>
      <c r="H23" t="s">
        <v>489</v>
      </c>
      <c r="I23" t="s">
        <v>490</v>
      </c>
      <c r="N23" t="s">
        <v>491</v>
      </c>
      <c r="O23" t="s">
        <v>492</v>
      </c>
      <c r="P23" t="s">
        <v>156</v>
      </c>
      <c r="Q23" t="s">
        <v>92</v>
      </c>
      <c r="T23">
        <v>0</v>
      </c>
      <c r="U23" t="s">
        <v>93</v>
      </c>
      <c r="V23" t="s">
        <v>93</v>
      </c>
      <c r="W23" t="s">
        <v>167</v>
      </c>
      <c r="X23" t="s">
        <v>167</v>
      </c>
      <c r="Y23" t="s">
        <v>93</v>
      </c>
      <c r="Z23" t="s">
        <v>108</v>
      </c>
      <c r="AA23" t="s">
        <v>174</v>
      </c>
      <c r="AB23">
        <v>30</v>
      </c>
      <c r="AC23">
        <v>0</v>
      </c>
      <c r="AD23">
        <v>0</v>
      </c>
      <c r="AE23">
        <v>70</v>
      </c>
      <c r="AF23" t="s">
        <v>281</v>
      </c>
      <c r="AG23" t="s">
        <v>100</v>
      </c>
      <c r="AH23" t="s">
        <v>196</v>
      </c>
      <c r="AI23" t="s">
        <v>171</v>
      </c>
      <c r="AJ23" t="s">
        <v>172</v>
      </c>
      <c r="AK23" t="s">
        <v>173</v>
      </c>
      <c r="AL23">
        <v>3</v>
      </c>
      <c r="AM23" t="s">
        <v>176</v>
      </c>
      <c r="AN23">
        <v>30</v>
      </c>
      <c r="AO23">
        <v>0</v>
      </c>
      <c r="AP23">
        <v>0</v>
      </c>
      <c r="AQ23">
        <v>70</v>
      </c>
      <c r="AR23" t="s">
        <v>105</v>
      </c>
      <c r="AS23" t="s">
        <v>326</v>
      </c>
      <c r="AW23">
        <f t="shared" si="7"/>
        <v>0</v>
      </c>
      <c r="AX23">
        <f t="shared" si="8"/>
        <v>1</v>
      </c>
      <c r="AY23">
        <f t="shared" si="9"/>
        <v>0</v>
      </c>
      <c r="AZ23">
        <f t="shared" si="10"/>
        <v>1</v>
      </c>
      <c r="BA23">
        <f t="shared" si="11"/>
        <v>1</v>
      </c>
      <c r="BB23">
        <f>SUM(AW23:BA23)</f>
        <v>3</v>
      </c>
      <c r="BC23" t="s">
        <v>173</v>
      </c>
      <c r="BE23">
        <f>MATCH(U24,{"Strongly disagree";"Disagree";"Somewhat disagree";"Neither agree nor disagree";"Somewhat agree";"Agree";"Strongly agree"},0)</f>
        <v>7</v>
      </c>
      <c r="BF23">
        <f>MATCH(W24,{"Strongly disagree";"Disagree";"Somewhat disagree";"Neither agree nor disagree";"Somewhat agree";"Agree";"Strongly agree"},0)</f>
        <v>2</v>
      </c>
      <c r="BG23">
        <f>MATCH(Y24,{"Strongly disagree";"Disagree";"Somewhat disagree";"Neither agree nor disagree";"Somewhat agree";"Agree";"Strongly agree"},0)</f>
        <v>5</v>
      </c>
      <c r="BI23">
        <f t="shared" si="1"/>
        <v>1</v>
      </c>
      <c r="BJ23">
        <f t="shared" si="2"/>
        <v>0.16666666666666666</v>
      </c>
      <c r="BK23">
        <f t="shared" si="3"/>
        <v>0.66666666666666663</v>
      </c>
      <c r="BP23">
        <f t="shared" si="4"/>
        <v>0.91666666666666663</v>
      </c>
      <c r="BQ23">
        <f t="shared" si="0"/>
        <v>0.83333333333333326</v>
      </c>
      <c r="BR23">
        <f t="shared" si="5"/>
        <v>0.15</v>
      </c>
      <c r="BS23">
        <f t="shared" si="12"/>
        <v>0.4</v>
      </c>
      <c r="BT23">
        <f>MATCH(LOWER(CLEAN(TRIM(AR24))),{"male";"female"},0)-1</f>
        <v>1</v>
      </c>
      <c r="BU23">
        <v>3</v>
      </c>
      <c r="BV23">
        <v>3</v>
      </c>
      <c r="BW23">
        <f>CHOOSE(
    MATCH(
        LOWER(CLEAN(TRIM(AS24))),
        {"bachelor - graduated";"bachalor - second year";"bachelor - third year";"masters - second year";"masters - first year";"master - graduated";"bachalor - first year";"bachelor - fourth year";"doctoral degree - phd or equivalent"},
        0
    ),
    16,14,15,18,17,18,13,16,21
)</f>
        <v>17</v>
      </c>
      <c r="BX23">
        <f t="shared" si="13"/>
        <v>-6.75</v>
      </c>
      <c r="BY23">
        <v>3</v>
      </c>
      <c r="BZ23">
        <f t="shared" si="6"/>
        <v>0</v>
      </c>
    </row>
    <row r="24" spans="1:78" x14ac:dyDescent="0.2">
      <c r="A24" t="s">
        <v>493</v>
      </c>
      <c r="B24" t="s">
        <v>494</v>
      </c>
      <c r="C24" t="s">
        <v>48</v>
      </c>
      <c r="D24" t="s">
        <v>495</v>
      </c>
      <c r="E24" t="s">
        <v>84</v>
      </c>
      <c r="F24" t="s">
        <v>496</v>
      </c>
      <c r="G24" t="s">
        <v>86</v>
      </c>
      <c r="H24" t="s">
        <v>497</v>
      </c>
      <c r="I24" t="s">
        <v>498</v>
      </c>
      <c r="N24" t="s">
        <v>119</v>
      </c>
      <c r="O24" t="s">
        <v>120</v>
      </c>
      <c r="P24" t="s">
        <v>156</v>
      </c>
      <c r="Q24" t="s">
        <v>92</v>
      </c>
      <c r="T24">
        <v>0</v>
      </c>
      <c r="U24" t="s">
        <v>165</v>
      </c>
      <c r="V24" t="s">
        <v>165</v>
      </c>
      <c r="W24" t="s">
        <v>167</v>
      </c>
      <c r="X24" t="s">
        <v>133</v>
      </c>
      <c r="Y24" t="s">
        <v>237</v>
      </c>
      <c r="Z24" t="s">
        <v>108</v>
      </c>
      <c r="AA24" t="s">
        <v>194</v>
      </c>
      <c r="AB24">
        <v>80</v>
      </c>
      <c r="AC24">
        <v>0</v>
      </c>
      <c r="AD24">
        <v>20</v>
      </c>
      <c r="AE24">
        <v>0</v>
      </c>
      <c r="AF24" t="s">
        <v>169</v>
      </c>
      <c r="AG24" t="s">
        <v>100</v>
      </c>
      <c r="AH24" t="s">
        <v>196</v>
      </c>
      <c r="AI24" t="s">
        <v>171</v>
      </c>
      <c r="AJ24" t="s">
        <v>172</v>
      </c>
      <c r="AK24" t="s">
        <v>197</v>
      </c>
      <c r="AM24" t="s">
        <v>228</v>
      </c>
      <c r="AN24">
        <v>80</v>
      </c>
      <c r="AO24">
        <v>0</v>
      </c>
      <c r="AP24">
        <v>0</v>
      </c>
      <c r="AQ24">
        <v>20</v>
      </c>
      <c r="AR24" t="s">
        <v>198</v>
      </c>
      <c r="AS24" t="s">
        <v>456</v>
      </c>
      <c r="AW24">
        <f t="shared" si="7"/>
        <v>0</v>
      </c>
      <c r="AX24">
        <f t="shared" si="8"/>
        <v>1</v>
      </c>
      <c r="AY24">
        <f t="shared" si="9"/>
        <v>0</v>
      </c>
      <c r="AZ24">
        <f t="shared" si="10"/>
        <v>1</v>
      </c>
      <c r="BA24">
        <f t="shared" si="11"/>
        <v>1</v>
      </c>
      <c r="BB24">
        <f>SUM(AW24:BA24)</f>
        <v>3</v>
      </c>
      <c r="BC24" t="s">
        <v>197</v>
      </c>
      <c r="BE24">
        <f>MATCH(U25,{"Strongly disagree";"Disagree";"Somewhat disagree";"Neither agree nor disagree";"Somewhat agree";"Agree";"Strongly agree"},0)</f>
        <v>5</v>
      </c>
      <c r="BF24">
        <f>MATCH(W25,{"Strongly disagree";"Disagree";"Somewhat disagree";"Neither agree nor disagree";"Somewhat agree";"Agree";"Strongly agree"},0)</f>
        <v>3</v>
      </c>
      <c r="BG24">
        <f>MATCH(Y25,{"Strongly disagree";"Disagree";"Somewhat disagree";"Neither agree nor disagree";"Somewhat agree";"Agree";"Strongly agree"},0)</f>
        <v>5</v>
      </c>
      <c r="BI24">
        <f t="shared" si="1"/>
        <v>0.66666666666666663</v>
      </c>
      <c r="BJ24">
        <f t="shared" si="2"/>
        <v>0.33333333333333331</v>
      </c>
      <c r="BK24">
        <f t="shared" si="3"/>
        <v>0.66666666666666663</v>
      </c>
      <c r="BP24">
        <f t="shared" si="4"/>
        <v>0.66666666666666663</v>
      </c>
      <c r="BQ24">
        <f t="shared" si="0"/>
        <v>0.66666666666666663</v>
      </c>
      <c r="BR24">
        <f t="shared" si="5"/>
        <v>0.75</v>
      </c>
      <c r="BS24">
        <f t="shared" si="12"/>
        <v>1</v>
      </c>
      <c r="BT24">
        <f>MATCH(LOWER(CLEAN(TRIM(AR25))),{"male";"female"},0)-1</f>
        <v>0</v>
      </c>
      <c r="BU24">
        <v>3</v>
      </c>
      <c r="BV24">
        <v>5</v>
      </c>
      <c r="BW24">
        <f>CHOOSE(
    MATCH(
        LOWER(CLEAN(TRIM(AS25))),
        {"bachelor - graduated";"bachalor - second year";"bachelor - third year";"masters - second year";"masters - first year";"master - graduated";"bachalor - first year";"bachelor - fourth year";"doctoral degree - phd or equivalent"},
        0
    ),
    16,14,15,18,17,18,13,16,21
)</f>
        <v>18</v>
      </c>
      <c r="BX24">
        <f t="shared" si="13"/>
        <v>0.25</v>
      </c>
      <c r="BY24">
        <v>4</v>
      </c>
      <c r="BZ24">
        <f t="shared" si="6"/>
        <v>0</v>
      </c>
    </row>
    <row r="25" spans="1:78" x14ac:dyDescent="0.2">
      <c r="A25" t="s">
        <v>499</v>
      </c>
      <c r="B25" t="s">
        <v>500</v>
      </c>
      <c r="C25" t="s">
        <v>48</v>
      </c>
      <c r="D25" t="s">
        <v>268</v>
      </c>
      <c r="E25" t="s">
        <v>84</v>
      </c>
      <c r="F25" t="s">
        <v>501</v>
      </c>
      <c r="G25" t="s">
        <v>86</v>
      </c>
      <c r="H25" t="s">
        <v>502</v>
      </c>
      <c r="I25" t="s">
        <v>503</v>
      </c>
      <c r="N25" t="s">
        <v>119</v>
      </c>
      <c r="O25" t="s">
        <v>120</v>
      </c>
      <c r="P25" t="s">
        <v>156</v>
      </c>
      <c r="Q25" t="s">
        <v>92</v>
      </c>
      <c r="T25">
        <v>0</v>
      </c>
      <c r="U25" t="s">
        <v>237</v>
      </c>
      <c r="V25" t="s">
        <v>93</v>
      </c>
      <c r="W25" t="s">
        <v>133</v>
      </c>
      <c r="X25" t="s">
        <v>167</v>
      </c>
      <c r="Y25" t="s">
        <v>237</v>
      </c>
      <c r="Z25" t="s">
        <v>108</v>
      </c>
      <c r="AA25" t="s">
        <v>455</v>
      </c>
      <c r="AB25">
        <v>0</v>
      </c>
      <c r="AC25">
        <v>0</v>
      </c>
      <c r="AD25">
        <v>100</v>
      </c>
      <c r="AE25">
        <v>0</v>
      </c>
      <c r="AF25" t="s">
        <v>135</v>
      </c>
      <c r="AG25" t="s">
        <v>100</v>
      </c>
      <c r="AH25" t="s">
        <v>196</v>
      </c>
      <c r="AI25" t="s">
        <v>171</v>
      </c>
      <c r="AJ25" t="s">
        <v>172</v>
      </c>
      <c r="AK25" t="s">
        <v>272</v>
      </c>
      <c r="AL25">
        <v>7</v>
      </c>
      <c r="AM25" t="s">
        <v>134</v>
      </c>
      <c r="AN25">
        <v>0</v>
      </c>
      <c r="AO25">
        <v>0</v>
      </c>
      <c r="AP25">
        <v>100</v>
      </c>
      <c r="AQ25">
        <v>0</v>
      </c>
      <c r="AR25" t="s">
        <v>105</v>
      </c>
      <c r="AS25" t="s">
        <v>199</v>
      </c>
      <c r="AW25">
        <f t="shared" si="7"/>
        <v>0</v>
      </c>
      <c r="AX25">
        <f t="shared" si="8"/>
        <v>1</v>
      </c>
      <c r="AY25">
        <f t="shared" si="9"/>
        <v>0</v>
      </c>
      <c r="AZ25">
        <f t="shared" si="10"/>
        <v>1</v>
      </c>
      <c r="BA25">
        <f t="shared" si="11"/>
        <v>1</v>
      </c>
      <c r="BB25">
        <f>SUM(AW25:BA25)</f>
        <v>3</v>
      </c>
      <c r="BC25" t="s">
        <v>272</v>
      </c>
      <c r="BE25">
        <f>MATCH(U26,{"Strongly disagree";"Disagree";"Somewhat disagree";"Neither agree nor disagree";"Somewhat agree";"Agree";"Strongly agree"},0)</f>
        <v>5</v>
      </c>
      <c r="BF25">
        <f>MATCH(W26,{"Strongly disagree";"Disagree";"Somewhat disagree";"Neither agree nor disagree";"Somewhat agree";"Agree";"Strongly agree"},0)</f>
        <v>4</v>
      </c>
      <c r="BG25">
        <f>MATCH(Y26,{"Strongly disagree";"Disagree";"Somewhat disagree";"Neither agree nor disagree";"Somewhat agree";"Agree";"Strongly agree"},0)</f>
        <v>6</v>
      </c>
      <c r="BI25">
        <f t="shared" si="1"/>
        <v>0.66666666666666663</v>
      </c>
      <c r="BJ25">
        <f t="shared" si="2"/>
        <v>0.5</v>
      </c>
      <c r="BK25">
        <f t="shared" si="3"/>
        <v>0.83333333333333337</v>
      </c>
      <c r="BP25">
        <f t="shared" si="4"/>
        <v>0.58333333333333326</v>
      </c>
      <c r="BQ25">
        <f t="shared" si="0"/>
        <v>0.66666666666666663</v>
      </c>
      <c r="BR25">
        <f t="shared" si="5"/>
        <v>0.6</v>
      </c>
      <c r="BS25">
        <f t="shared" si="12"/>
        <v>0.8</v>
      </c>
      <c r="BT25">
        <f>MATCH(LOWER(CLEAN(TRIM(AR26))),{"male";"female"},0)-1</f>
        <v>1</v>
      </c>
      <c r="BU25">
        <v>5</v>
      </c>
      <c r="BV25">
        <v>3</v>
      </c>
      <c r="BW25">
        <f>CHOOSE(
    MATCH(
        LOWER(CLEAN(TRIM(AS26))),
        {"bachelor - graduated";"bachalor - second year";"bachelor - third year";"masters - second year";"masters - first year";"master - graduated";"bachalor - first year";"bachelor - fourth year";"doctoral degree - phd or equivalent"},
        0
    ),
    16,14,15,18,17,18,13,16,21
)</f>
        <v>18</v>
      </c>
      <c r="BX25">
        <f t="shared" si="13"/>
        <v>0.25</v>
      </c>
      <c r="BY25">
        <v>2</v>
      </c>
      <c r="BZ25">
        <f t="shared" si="6"/>
        <v>0</v>
      </c>
    </row>
    <row r="26" spans="1:78" x14ac:dyDescent="0.2">
      <c r="A26" t="s">
        <v>529</v>
      </c>
      <c r="B26" t="s">
        <v>530</v>
      </c>
      <c r="C26" t="s">
        <v>48</v>
      </c>
      <c r="D26" t="s">
        <v>531</v>
      </c>
      <c r="E26" t="s">
        <v>84</v>
      </c>
      <c r="F26" t="s">
        <v>532</v>
      </c>
      <c r="G26" t="s">
        <v>86</v>
      </c>
      <c r="H26" t="s">
        <v>533</v>
      </c>
      <c r="I26" t="s">
        <v>534</v>
      </c>
      <c r="N26" t="s">
        <v>535</v>
      </c>
      <c r="O26" t="s">
        <v>536</v>
      </c>
      <c r="P26" t="s">
        <v>156</v>
      </c>
      <c r="Q26" t="s">
        <v>92</v>
      </c>
      <c r="T26">
        <v>0</v>
      </c>
      <c r="U26" t="s">
        <v>237</v>
      </c>
      <c r="V26" t="s">
        <v>93</v>
      </c>
      <c r="W26" t="s">
        <v>94</v>
      </c>
      <c r="X26" t="s">
        <v>93</v>
      </c>
      <c r="Y26" t="s">
        <v>93</v>
      </c>
      <c r="Z26" t="s">
        <v>108</v>
      </c>
      <c r="AA26" t="s">
        <v>518</v>
      </c>
      <c r="AB26">
        <v>0</v>
      </c>
      <c r="AC26">
        <v>60</v>
      </c>
      <c r="AD26">
        <v>40</v>
      </c>
      <c r="AE26">
        <v>0</v>
      </c>
      <c r="AF26" t="s">
        <v>99</v>
      </c>
      <c r="AG26" t="s">
        <v>100</v>
      </c>
      <c r="AH26" t="s">
        <v>170</v>
      </c>
      <c r="AI26" t="s">
        <v>171</v>
      </c>
      <c r="AJ26" t="s">
        <v>172</v>
      </c>
      <c r="AK26" t="s">
        <v>197</v>
      </c>
      <c r="AL26">
        <v>7</v>
      </c>
      <c r="AM26" t="s">
        <v>134</v>
      </c>
      <c r="AN26">
        <v>0</v>
      </c>
      <c r="AO26">
        <v>80</v>
      </c>
      <c r="AP26">
        <v>20</v>
      </c>
      <c r="AQ26">
        <v>0</v>
      </c>
      <c r="AR26" t="s">
        <v>198</v>
      </c>
      <c r="AS26" t="s">
        <v>199</v>
      </c>
      <c r="AW26">
        <f t="shared" si="7"/>
        <v>1</v>
      </c>
      <c r="AX26">
        <f t="shared" si="8"/>
        <v>1</v>
      </c>
      <c r="AY26">
        <f t="shared" si="9"/>
        <v>1</v>
      </c>
      <c r="AZ26">
        <f t="shared" si="10"/>
        <v>1</v>
      </c>
      <c r="BA26">
        <f t="shared" si="11"/>
        <v>1</v>
      </c>
      <c r="BB26">
        <f>SUM(AW26:BA26)</f>
        <v>5</v>
      </c>
      <c r="BC26" t="s">
        <v>197</v>
      </c>
      <c r="BE26">
        <f>MATCH(U27,{"Strongly disagree";"Disagree";"Somewhat disagree";"Neither agree nor disagree";"Somewhat agree";"Agree";"Strongly agree"},0)</f>
        <v>3</v>
      </c>
      <c r="BF26">
        <f>MATCH(W27,{"Strongly disagree";"Disagree";"Somewhat disagree";"Neither agree nor disagree";"Somewhat agree";"Agree";"Strongly agree"},0)</f>
        <v>3</v>
      </c>
      <c r="BG26">
        <f>MATCH(Y27,{"Strongly disagree";"Disagree";"Somewhat disagree";"Neither agree nor disagree";"Somewhat agree";"Agree";"Strongly agree"},0)</f>
        <v>3</v>
      </c>
      <c r="BI26">
        <f t="shared" si="1"/>
        <v>0.33333333333333331</v>
      </c>
      <c r="BJ26">
        <f t="shared" si="2"/>
        <v>0.33333333333333331</v>
      </c>
      <c r="BK26">
        <f t="shared" si="3"/>
        <v>0.33333333333333331</v>
      </c>
      <c r="BP26">
        <f t="shared" si="4"/>
        <v>0.5</v>
      </c>
      <c r="BQ26">
        <f t="shared" si="0"/>
        <v>0.44444444444444442</v>
      </c>
      <c r="BR26">
        <f t="shared" si="5"/>
        <v>0</v>
      </c>
      <c r="BS26">
        <f t="shared" si="12"/>
        <v>0.5</v>
      </c>
      <c r="BT26">
        <f>MATCH(LOWER(CLEAN(TRIM(AR27))),{"male";"female"},0)-1</f>
        <v>1</v>
      </c>
      <c r="BU26">
        <v>2</v>
      </c>
      <c r="BV26">
        <v>0</v>
      </c>
      <c r="BW26">
        <f>CHOOSE(
    MATCH(
        LOWER(CLEAN(TRIM(AS27))),
        {"bachelor - graduated";"bachalor - second year";"bachelor - third year";"masters - second year";"masters - first year";"master - graduated";"bachalor - first year";"bachelor - fourth year";"doctoral degree - phd or equivalent"},
        0
    ),
    16,14,15,18,17,18,13,16,21
)</f>
        <v>13</v>
      </c>
      <c r="BX26">
        <f t="shared" si="13"/>
        <v>-0.75</v>
      </c>
      <c r="BY26">
        <v>1</v>
      </c>
      <c r="BZ26">
        <f t="shared" si="6"/>
        <v>1</v>
      </c>
    </row>
    <row r="27" spans="1:78" x14ac:dyDescent="0.2">
      <c r="A27" t="s">
        <v>109</v>
      </c>
      <c r="B27" t="s">
        <v>110</v>
      </c>
      <c r="C27" t="s">
        <v>83</v>
      </c>
      <c r="E27" t="s">
        <v>84</v>
      </c>
      <c r="F27" t="s">
        <v>111</v>
      </c>
      <c r="G27" t="s">
        <v>86</v>
      </c>
      <c r="H27" t="s">
        <v>112</v>
      </c>
      <c r="I27" t="s">
        <v>113</v>
      </c>
      <c r="N27" t="s">
        <v>89</v>
      </c>
      <c r="O27" t="s">
        <v>90</v>
      </c>
      <c r="P27" t="s">
        <v>91</v>
      </c>
      <c r="Q27" t="s">
        <v>92</v>
      </c>
      <c r="T27">
        <v>1</v>
      </c>
      <c r="U27" t="s">
        <v>133</v>
      </c>
      <c r="V27" t="s">
        <v>133</v>
      </c>
      <c r="W27" t="s">
        <v>133</v>
      </c>
      <c r="X27" t="s">
        <v>133</v>
      </c>
      <c r="Y27" t="s">
        <v>133</v>
      </c>
      <c r="Z27" t="s">
        <v>108</v>
      </c>
      <c r="AA27" t="s">
        <v>528</v>
      </c>
      <c r="AB27">
        <v>100</v>
      </c>
      <c r="AC27">
        <v>0</v>
      </c>
      <c r="AD27">
        <v>0</v>
      </c>
      <c r="AE27">
        <v>0</v>
      </c>
      <c r="AF27" t="s">
        <v>99</v>
      </c>
      <c r="AG27" t="s">
        <v>136</v>
      </c>
      <c r="AH27" t="s">
        <v>170</v>
      </c>
      <c r="AI27" t="s">
        <v>519</v>
      </c>
      <c r="AJ27" t="s">
        <v>139</v>
      </c>
      <c r="AK27" t="s">
        <v>367</v>
      </c>
      <c r="AL27">
        <v>6</v>
      </c>
      <c r="AM27" t="s">
        <v>84</v>
      </c>
      <c r="AN27">
        <v>100</v>
      </c>
      <c r="AO27">
        <v>0</v>
      </c>
      <c r="AP27">
        <v>0</v>
      </c>
      <c r="AQ27">
        <v>0</v>
      </c>
      <c r="AR27" t="s">
        <v>198</v>
      </c>
      <c r="AS27" t="s">
        <v>537</v>
      </c>
      <c r="AW27">
        <f t="shared" si="7"/>
        <v>1</v>
      </c>
      <c r="AX27">
        <f t="shared" si="8"/>
        <v>0</v>
      </c>
      <c r="AY27">
        <f t="shared" si="9"/>
        <v>1</v>
      </c>
      <c r="AZ27">
        <f t="shared" si="10"/>
        <v>0</v>
      </c>
      <c r="BA27">
        <f t="shared" si="11"/>
        <v>0</v>
      </c>
      <c r="BB27">
        <f>SUM(AW27:BA27)</f>
        <v>2</v>
      </c>
      <c r="BC27" t="s">
        <v>367</v>
      </c>
      <c r="BE27">
        <f>MATCH(U28,{"Strongly disagree";"Disagree";"Somewhat disagree";"Neither agree nor disagree";"Somewhat agree";"Agree";"Strongly agree"},0)</f>
        <v>6</v>
      </c>
      <c r="BF27">
        <f>MATCH(W28,{"Strongly disagree";"Disagree";"Somewhat disagree";"Neither agree nor disagree";"Somewhat agree";"Agree";"Strongly agree"},0)</f>
        <v>3</v>
      </c>
      <c r="BG27">
        <f>MATCH(Y28,{"Strongly disagree";"Disagree";"Somewhat disagree";"Neither agree nor disagree";"Somewhat agree";"Agree";"Strongly agree"},0)</f>
        <v>5</v>
      </c>
      <c r="BI27">
        <f t="shared" si="1"/>
        <v>0.83333333333333337</v>
      </c>
      <c r="BJ27">
        <f t="shared" si="2"/>
        <v>0.33333333333333331</v>
      </c>
      <c r="BK27">
        <f t="shared" si="3"/>
        <v>0.66666666666666663</v>
      </c>
      <c r="BP27">
        <f t="shared" si="4"/>
        <v>0.75000000000000011</v>
      </c>
      <c r="BQ27">
        <f t="shared" si="0"/>
        <v>0.72222222222222232</v>
      </c>
      <c r="BR27">
        <f t="shared" si="5"/>
        <v>0.5625</v>
      </c>
      <c r="BS27">
        <f t="shared" si="12"/>
        <v>0.83499999999999996</v>
      </c>
      <c r="BT27">
        <f>MATCH(LOWER(CLEAN(TRIM(AR28))),{"male";"female"},0)-1</f>
        <v>0</v>
      </c>
      <c r="BU27">
        <v>3</v>
      </c>
      <c r="BV27">
        <v>4</v>
      </c>
      <c r="BW27">
        <f>CHOOSE(
    MATCH(
        LOWER(CLEAN(TRIM(AS28))),
        {"bachelor - graduated";"bachalor - second year";"bachelor - third year";"masters - second year";"masters - first year";"master - graduated";"bachalor - first year";"bachelor - fourth year";"doctoral degree - phd or equivalent"},
        0
    ),
    16,14,15,18,17,18,13,16,21
)</f>
        <v>18</v>
      </c>
      <c r="BX27">
        <f t="shared" si="13"/>
        <v>0.25</v>
      </c>
      <c r="BY27">
        <v>4</v>
      </c>
      <c r="BZ27">
        <f t="shared" si="6"/>
        <v>1</v>
      </c>
    </row>
    <row r="28" spans="1:78" x14ac:dyDescent="0.2">
      <c r="A28" t="s">
        <v>114</v>
      </c>
      <c r="B28" t="s">
        <v>115</v>
      </c>
      <c r="C28" t="s">
        <v>83</v>
      </c>
      <c r="E28" t="s">
        <v>84</v>
      </c>
      <c r="F28" t="s">
        <v>116</v>
      </c>
      <c r="G28" t="s">
        <v>86</v>
      </c>
      <c r="H28" t="s">
        <v>117</v>
      </c>
      <c r="I28" t="s">
        <v>118</v>
      </c>
      <c r="N28" t="s">
        <v>119</v>
      </c>
      <c r="O28" t="s">
        <v>120</v>
      </c>
      <c r="P28" t="s">
        <v>91</v>
      </c>
      <c r="Q28" t="s">
        <v>92</v>
      </c>
      <c r="T28">
        <v>1</v>
      </c>
      <c r="U28" t="s">
        <v>93</v>
      </c>
      <c r="V28" t="s">
        <v>165</v>
      </c>
      <c r="W28" t="s">
        <v>133</v>
      </c>
      <c r="X28" t="s">
        <v>93</v>
      </c>
      <c r="Y28" t="s">
        <v>237</v>
      </c>
      <c r="Z28" t="s">
        <v>108</v>
      </c>
      <c r="AA28" t="s">
        <v>455</v>
      </c>
      <c r="AB28">
        <v>20</v>
      </c>
      <c r="AC28">
        <v>20</v>
      </c>
      <c r="AD28">
        <v>55</v>
      </c>
      <c r="AE28">
        <v>5</v>
      </c>
      <c r="AF28" t="s">
        <v>99</v>
      </c>
      <c r="AG28" t="s">
        <v>100</v>
      </c>
      <c r="AH28" t="s">
        <v>101</v>
      </c>
      <c r="AI28" t="s">
        <v>171</v>
      </c>
      <c r="AJ28" t="s">
        <v>325</v>
      </c>
      <c r="AK28" t="s">
        <v>173</v>
      </c>
      <c r="AL28">
        <v>7</v>
      </c>
      <c r="AM28" t="s">
        <v>538</v>
      </c>
      <c r="AN28">
        <v>33</v>
      </c>
      <c r="AO28">
        <v>0</v>
      </c>
      <c r="AP28">
        <v>67</v>
      </c>
      <c r="AQ28">
        <v>0</v>
      </c>
      <c r="AR28" t="s">
        <v>105</v>
      </c>
      <c r="AS28" t="s">
        <v>199</v>
      </c>
      <c r="AW28">
        <f t="shared" si="7"/>
        <v>1</v>
      </c>
      <c r="AX28">
        <f t="shared" si="8"/>
        <v>1</v>
      </c>
      <c r="AY28">
        <f t="shared" si="9"/>
        <v>0</v>
      </c>
      <c r="AZ28">
        <f t="shared" si="10"/>
        <v>1</v>
      </c>
      <c r="BA28">
        <f t="shared" si="11"/>
        <v>0</v>
      </c>
      <c r="BB28">
        <f>SUM(AW28:BA28)</f>
        <v>3</v>
      </c>
      <c r="BC28" t="s">
        <v>173</v>
      </c>
      <c r="BE28">
        <f>MATCH(U29,{"Strongly disagree";"Disagree";"Somewhat disagree";"Neither agree nor disagree";"Somewhat agree";"Agree";"Strongly agree"},0)</f>
        <v>4</v>
      </c>
      <c r="BF28">
        <f>MATCH(W29,{"Strongly disagree";"Disagree";"Somewhat disagree";"Neither agree nor disagree";"Somewhat agree";"Agree";"Strongly agree"},0)</f>
        <v>4</v>
      </c>
      <c r="BG28">
        <f>MATCH(Y29,{"Strongly disagree";"Disagree";"Somewhat disagree";"Neither agree nor disagree";"Somewhat agree";"Agree";"Strongly agree"},0)</f>
        <v>4</v>
      </c>
      <c r="BI28">
        <f t="shared" si="1"/>
        <v>0.5</v>
      </c>
      <c r="BJ28">
        <f t="shared" si="2"/>
        <v>0.5</v>
      </c>
      <c r="BK28">
        <f t="shared" si="3"/>
        <v>0.5</v>
      </c>
      <c r="BP28">
        <f t="shared" si="4"/>
        <v>0.5</v>
      </c>
      <c r="BQ28">
        <f t="shared" si="0"/>
        <v>0.5</v>
      </c>
      <c r="BR28">
        <f t="shared" si="5"/>
        <v>0.27500000000000002</v>
      </c>
      <c r="BS28">
        <f t="shared" si="12"/>
        <v>0.6</v>
      </c>
      <c r="BT28">
        <f>MATCH(LOWER(CLEAN(TRIM(AR29))),{"male";"female"},0)-1</f>
        <v>1</v>
      </c>
      <c r="BU28">
        <v>2</v>
      </c>
      <c r="BV28">
        <v>3</v>
      </c>
      <c r="BW28">
        <f>CHOOSE(
    MATCH(
        LOWER(CLEAN(TRIM(AS29))),
        {"bachelor - graduated";"bachalor - second year";"bachelor - third year";"masters - second year";"masters - first year";"master - graduated";"bachalor - first year";"bachelor - fourth year";"doctoral degree - phd or equivalent"},
        0
    ),
    16,14,15,18,17,18,13,16,21
)</f>
        <v>18</v>
      </c>
      <c r="BX28">
        <f t="shared" si="13"/>
        <v>3.25</v>
      </c>
      <c r="BY28">
        <v>4</v>
      </c>
      <c r="BZ28">
        <f t="shared" si="6"/>
        <v>1</v>
      </c>
    </row>
    <row r="29" spans="1:78" x14ac:dyDescent="0.2">
      <c r="A29" t="s">
        <v>121</v>
      </c>
      <c r="B29" t="s">
        <v>122</v>
      </c>
      <c r="C29" t="s">
        <v>83</v>
      </c>
      <c r="E29" t="s">
        <v>84</v>
      </c>
      <c r="F29" t="s">
        <v>123</v>
      </c>
      <c r="G29" t="s">
        <v>86</v>
      </c>
      <c r="H29" t="s">
        <v>124</v>
      </c>
      <c r="I29" t="s">
        <v>125</v>
      </c>
      <c r="N29" t="s">
        <v>126</v>
      </c>
      <c r="O29" t="s">
        <v>127</v>
      </c>
      <c r="P29" t="s">
        <v>91</v>
      </c>
      <c r="Q29" t="s">
        <v>92</v>
      </c>
      <c r="T29">
        <v>1</v>
      </c>
      <c r="U29" t="s">
        <v>94</v>
      </c>
      <c r="V29" t="s">
        <v>94</v>
      </c>
      <c r="W29" t="s">
        <v>94</v>
      </c>
      <c r="X29" t="s">
        <v>94</v>
      </c>
      <c r="Y29" t="s">
        <v>94</v>
      </c>
      <c r="Z29" t="s">
        <v>108</v>
      </c>
      <c r="AA29" t="s">
        <v>455</v>
      </c>
      <c r="AB29">
        <v>60</v>
      </c>
      <c r="AC29">
        <v>20</v>
      </c>
      <c r="AD29">
        <v>10</v>
      </c>
      <c r="AE29">
        <v>10</v>
      </c>
      <c r="AF29" t="s">
        <v>99</v>
      </c>
      <c r="AG29" t="s">
        <v>100</v>
      </c>
      <c r="AH29" t="s">
        <v>101</v>
      </c>
      <c r="AI29" t="s">
        <v>137</v>
      </c>
      <c r="AJ29" t="s">
        <v>139</v>
      </c>
      <c r="AK29" t="s">
        <v>197</v>
      </c>
      <c r="AL29">
        <v>10</v>
      </c>
      <c r="AM29" t="s">
        <v>96</v>
      </c>
      <c r="AN29">
        <v>50</v>
      </c>
      <c r="AO29">
        <v>20</v>
      </c>
      <c r="AP29">
        <v>20</v>
      </c>
      <c r="AQ29">
        <v>10</v>
      </c>
      <c r="AR29" t="s">
        <v>198</v>
      </c>
      <c r="AS29" t="s">
        <v>199</v>
      </c>
      <c r="AW29">
        <f t="shared" si="7"/>
        <v>1</v>
      </c>
      <c r="AX29">
        <f t="shared" si="8"/>
        <v>1</v>
      </c>
      <c r="AY29">
        <f t="shared" si="9"/>
        <v>0</v>
      </c>
      <c r="AZ29">
        <f t="shared" si="10"/>
        <v>0</v>
      </c>
      <c r="BA29">
        <f t="shared" si="11"/>
        <v>0</v>
      </c>
      <c r="BB29">
        <f>SUM(AW29:BA29)</f>
        <v>2</v>
      </c>
      <c r="BC29" t="s">
        <v>197</v>
      </c>
      <c r="BE29">
        <f>MATCH(U30,{"Strongly disagree";"Disagree";"Somewhat disagree";"Neither agree nor disagree";"Somewhat agree";"Agree";"Strongly agree"},0)</f>
        <v>4</v>
      </c>
      <c r="BF29">
        <f>MATCH(W30,{"Strongly disagree";"Disagree";"Somewhat disagree";"Neither agree nor disagree";"Somewhat agree";"Agree";"Strongly agree"},0)</f>
        <v>4</v>
      </c>
      <c r="BG29">
        <f>MATCH(Y30,{"Strongly disagree";"Disagree";"Somewhat disagree";"Neither agree nor disagree";"Somewhat agree";"Agree";"Strongly agree"},0)</f>
        <v>4</v>
      </c>
      <c r="BI29">
        <f t="shared" si="1"/>
        <v>0.5</v>
      </c>
      <c r="BJ29">
        <f t="shared" si="2"/>
        <v>0.5</v>
      </c>
      <c r="BK29">
        <f t="shared" si="3"/>
        <v>0.5</v>
      </c>
      <c r="BP29">
        <f t="shared" si="4"/>
        <v>0.5</v>
      </c>
      <c r="BQ29">
        <f t="shared" si="0"/>
        <v>0.5</v>
      </c>
      <c r="BR29">
        <f t="shared" si="5"/>
        <v>0</v>
      </c>
      <c r="BT29">
        <f>MATCH(LOWER(CLEAN(TRIM(AR30))),{"male";"female"},0)-1</f>
        <v>0</v>
      </c>
      <c r="BU29">
        <v>0</v>
      </c>
      <c r="BV29">
        <v>3</v>
      </c>
      <c r="BW29">
        <f>CHOOSE(
    MATCH(
        LOWER(CLEAN(TRIM(AS30))),
        {"bachelor - graduated";"bachalor - second year";"bachelor - third year";"masters - second year";"masters - first year";"master - graduated";"bachalor - first year";"bachelor - fourth year";"doctoral degree - phd or equivalent"},
        0
    ),
    16,14,15,18,17,18,13,16,21
)</f>
        <v>16</v>
      </c>
      <c r="BX29">
        <f t="shared" si="13"/>
        <v>-6.75</v>
      </c>
      <c r="BZ29">
        <f t="shared" si="6"/>
        <v>1</v>
      </c>
    </row>
    <row r="30" spans="1:78" x14ac:dyDescent="0.2">
      <c r="A30" t="s">
        <v>143</v>
      </c>
      <c r="B30" t="s">
        <v>144</v>
      </c>
      <c r="C30" t="s">
        <v>83</v>
      </c>
      <c r="E30" t="s">
        <v>84</v>
      </c>
      <c r="F30" t="s">
        <v>145</v>
      </c>
      <c r="G30" t="s">
        <v>86</v>
      </c>
      <c r="H30" t="s">
        <v>146</v>
      </c>
      <c r="I30" t="s">
        <v>147</v>
      </c>
      <c r="N30" t="s">
        <v>119</v>
      </c>
      <c r="O30" t="s">
        <v>120</v>
      </c>
      <c r="P30" t="s">
        <v>91</v>
      </c>
      <c r="Q30" t="s">
        <v>92</v>
      </c>
      <c r="T30">
        <v>1</v>
      </c>
      <c r="U30" t="s">
        <v>94</v>
      </c>
      <c r="V30" t="s">
        <v>94</v>
      </c>
      <c r="W30" t="s">
        <v>94</v>
      </c>
      <c r="X30" t="s">
        <v>94</v>
      </c>
      <c r="Y30" t="s">
        <v>94</v>
      </c>
      <c r="Z30" t="s">
        <v>95</v>
      </c>
      <c r="AB30">
        <v>100</v>
      </c>
      <c r="AC30">
        <v>0</v>
      </c>
      <c r="AD30">
        <v>0</v>
      </c>
      <c r="AE30">
        <v>0</v>
      </c>
      <c r="AF30" t="s">
        <v>135</v>
      </c>
      <c r="AG30" t="s">
        <v>539</v>
      </c>
      <c r="AH30" t="s">
        <v>196</v>
      </c>
      <c r="AI30" t="s">
        <v>519</v>
      </c>
      <c r="AJ30" t="s">
        <v>139</v>
      </c>
      <c r="AK30" t="s">
        <v>197</v>
      </c>
      <c r="AR30" t="s">
        <v>105</v>
      </c>
      <c r="AS30" t="s">
        <v>540</v>
      </c>
      <c r="AW30">
        <f t="shared" si="7"/>
        <v>0</v>
      </c>
      <c r="AX30">
        <f t="shared" si="8"/>
        <v>0</v>
      </c>
      <c r="AY30">
        <f t="shared" si="9"/>
        <v>0</v>
      </c>
      <c r="AZ30">
        <f t="shared" si="10"/>
        <v>0</v>
      </c>
      <c r="BA30">
        <f t="shared" si="11"/>
        <v>0</v>
      </c>
      <c r="BB30">
        <f>SUM(AW30:BA30)</f>
        <v>0</v>
      </c>
      <c r="BC30" t="s">
        <v>197</v>
      </c>
      <c r="BE30">
        <f>MATCH(U31,{"Strongly disagree";"Disagree";"Somewhat disagree";"Neither agree nor disagree";"Somewhat agree";"Agree";"Strongly agree"},0)</f>
        <v>4</v>
      </c>
      <c r="BF30">
        <f>MATCH(W31,{"Strongly disagree";"Disagree";"Somewhat disagree";"Neither agree nor disagree";"Somewhat agree";"Agree";"Strongly agree"},0)</f>
        <v>3</v>
      </c>
      <c r="BG30">
        <f>MATCH(Y31,{"Strongly disagree";"Disagree";"Somewhat disagree";"Neither agree nor disagree";"Somewhat agree";"Agree";"Strongly agree"},0)</f>
        <v>6</v>
      </c>
      <c r="BI30">
        <f t="shared" si="1"/>
        <v>0.5</v>
      </c>
      <c r="BJ30">
        <f t="shared" si="2"/>
        <v>0.33333333333333331</v>
      </c>
      <c r="BK30">
        <f t="shared" si="3"/>
        <v>0.83333333333333337</v>
      </c>
      <c r="BP30">
        <f t="shared" si="4"/>
        <v>0.58333333333333337</v>
      </c>
      <c r="BQ30">
        <f t="shared" si="0"/>
        <v>0.66666666666666663</v>
      </c>
      <c r="BR30">
        <f t="shared" si="5"/>
        <v>0.47499999999999998</v>
      </c>
      <c r="BT30">
        <f>MATCH(LOWER(CLEAN(TRIM(AR31))),{"male";"female"},0)-1</f>
        <v>1</v>
      </c>
      <c r="BU30">
        <v>2</v>
      </c>
      <c r="BV30">
        <v>2</v>
      </c>
      <c r="BW30">
        <f>CHOOSE(
    MATCH(
        LOWER(CLEAN(TRIM(AS31))),
        {"bachelor - graduated";"bachalor - second year";"bachelor - third year";"masters - second year";"masters - first year";"master - graduated";"bachalor - first year";"bachelor - fourth year";"doctoral degree - phd or equivalent"},
        0
    ),
    16,14,15,18,17,18,13,16,21
)</f>
        <v>18</v>
      </c>
      <c r="BX30">
        <f t="shared" si="13"/>
        <v>-0.75</v>
      </c>
      <c r="BZ30">
        <f t="shared" si="6"/>
        <v>1</v>
      </c>
    </row>
    <row r="31" spans="1:78" x14ac:dyDescent="0.2">
      <c r="A31" t="s">
        <v>148</v>
      </c>
      <c r="B31" t="s">
        <v>149</v>
      </c>
      <c r="C31" t="s">
        <v>48</v>
      </c>
      <c r="D31" t="s">
        <v>150</v>
      </c>
      <c r="E31" t="s">
        <v>84</v>
      </c>
      <c r="F31" t="s">
        <v>151</v>
      </c>
      <c r="G31" t="s">
        <v>86</v>
      </c>
      <c r="H31" t="s">
        <v>152</v>
      </c>
      <c r="I31" t="s">
        <v>153</v>
      </c>
      <c r="N31" t="s">
        <v>154</v>
      </c>
      <c r="O31" t="s">
        <v>155</v>
      </c>
      <c r="P31" t="s">
        <v>156</v>
      </c>
      <c r="Q31" t="s">
        <v>92</v>
      </c>
      <c r="T31">
        <v>1</v>
      </c>
      <c r="U31" t="s">
        <v>94</v>
      </c>
      <c r="V31" t="s">
        <v>94</v>
      </c>
      <c r="W31" t="s">
        <v>133</v>
      </c>
      <c r="X31" t="s">
        <v>133</v>
      </c>
      <c r="Y31" t="s">
        <v>93</v>
      </c>
      <c r="Z31" t="s">
        <v>95</v>
      </c>
      <c r="AB31">
        <v>40</v>
      </c>
      <c r="AC31">
        <v>20</v>
      </c>
      <c r="AD31">
        <v>10</v>
      </c>
      <c r="AE31">
        <v>30</v>
      </c>
      <c r="AF31" t="s">
        <v>99</v>
      </c>
      <c r="AG31" t="s">
        <v>100</v>
      </c>
      <c r="AH31" t="s">
        <v>196</v>
      </c>
      <c r="AI31" t="s">
        <v>137</v>
      </c>
      <c r="AJ31" t="s">
        <v>137</v>
      </c>
      <c r="AK31" t="s">
        <v>104</v>
      </c>
      <c r="AL31">
        <v>6</v>
      </c>
      <c r="AR31" t="s">
        <v>198</v>
      </c>
      <c r="AS31" t="s">
        <v>199</v>
      </c>
      <c r="AW31">
        <f t="shared" si="7"/>
        <v>1</v>
      </c>
      <c r="AX31">
        <f t="shared" si="8"/>
        <v>1</v>
      </c>
      <c r="AY31">
        <f t="shared" si="9"/>
        <v>0</v>
      </c>
      <c r="AZ31">
        <f t="shared" si="10"/>
        <v>0</v>
      </c>
      <c r="BA31">
        <f t="shared" si="11"/>
        <v>0</v>
      </c>
      <c r="BB31">
        <f>SUM(AW31:BA31)</f>
        <v>2</v>
      </c>
      <c r="BC31" t="s">
        <v>104</v>
      </c>
      <c r="BE31">
        <f>MATCH(U32,{"Strongly disagree";"Disagree";"Somewhat disagree";"Neither agree nor disagree";"Somewhat agree";"Agree";"Strongly agree"},0)</f>
        <v>6</v>
      </c>
      <c r="BF31">
        <f>MATCH(W32,{"Strongly disagree";"Disagree";"Somewhat disagree";"Neither agree nor disagree";"Somewhat agree";"Agree";"Strongly agree"},0)</f>
        <v>3</v>
      </c>
      <c r="BG31">
        <f>MATCH(Y32,{"Strongly disagree";"Disagree";"Somewhat disagree";"Neither agree nor disagree";"Somewhat agree";"Agree";"Strongly agree"},0)</f>
        <v>2</v>
      </c>
      <c r="BI31">
        <f t="shared" si="1"/>
        <v>0.83333333333333337</v>
      </c>
      <c r="BJ31">
        <f t="shared" si="2"/>
        <v>0.33333333333333331</v>
      </c>
      <c r="BK31">
        <f t="shared" si="3"/>
        <v>0.16666666666666666</v>
      </c>
      <c r="BP31">
        <f t="shared" si="4"/>
        <v>0.75000000000000011</v>
      </c>
      <c r="BQ31">
        <f t="shared" si="0"/>
        <v>0.55555555555555558</v>
      </c>
      <c r="BR31">
        <f t="shared" si="5"/>
        <v>0.7</v>
      </c>
      <c r="BS31">
        <f t="shared" si="12"/>
        <v>0.88749999999999996</v>
      </c>
      <c r="BT31">
        <f>MATCH(LOWER(CLEAN(TRIM(AR32))),{"male";"female"},0)-1</f>
        <v>0</v>
      </c>
      <c r="BU31">
        <v>4</v>
      </c>
      <c r="BV31">
        <v>4</v>
      </c>
      <c r="BW31">
        <f>CHOOSE(
    MATCH(
        LOWER(CLEAN(TRIM(AS32))),
        {"bachelor - graduated";"bachalor - second year";"bachelor - third year";"masters - second year";"masters - first year";"master - graduated";"bachalor - first year";"bachelor - fourth year";"doctoral degree - phd or equivalent"},
        0
    ),
    16,14,15,18,17,18,13,16,21
)</f>
        <v>18</v>
      </c>
      <c r="BX31">
        <f t="shared" si="13"/>
        <v>0.25</v>
      </c>
      <c r="BY31">
        <v>4</v>
      </c>
      <c r="BZ31">
        <f t="shared" si="6"/>
        <v>1</v>
      </c>
    </row>
    <row r="32" spans="1:78" x14ac:dyDescent="0.2">
      <c r="A32" t="s">
        <v>178</v>
      </c>
      <c r="B32" t="s">
        <v>179</v>
      </c>
      <c r="C32" t="s">
        <v>48</v>
      </c>
      <c r="D32" t="s">
        <v>180</v>
      </c>
      <c r="E32" t="s">
        <v>84</v>
      </c>
      <c r="F32" t="s">
        <v>181</v>
      </c>
      <c r="G32" t="s">
        <v>86</v>
      </c>
      <c r="H32" t="s">
        <v>182</v>
      </c>
      <c r="I32" t="s">
        <v>183</v>
      </c>
      <c r="N32" t="s">
        <v>184</v>
      </c>
      <c r="O32" t="s">
        <v>185</v>
      </c>
      <c r="P32" t="s">
        <v>156</v>
      </c>
      <c r="Q32" t="s">
        <v>92</v>
      </c>
      <c r="T32">
        <v>1</v>
      </c>
      <c r="U32" t="s">
        <v>93</v>
      </c>
      <c r="V32" t="s">
        <v>93</v>
      </c>
      <c r="W32" t="s">
        <v>133</v>
      </c>
      <c r="X32" t="s">
        <v>133</v>
      </c>
      <c r="Y32" t="s">
        <v>167</v>
      </c>
      <c r="Z32" t="s">
        <v>108</v>
      </c>
      <c r="AA32" t="s">
        <v>455</v>
      </c>
      <c r="AB32">
        <v>10</v>
      </c>
      <c r="AC32">
        <v>15</v>
      </c>
      <c r="AD32">
        <v>50</v>
      </c>
      <c r="AE32">
        <v>25</v>
      </c>
      <c r="AF32" t="s">
        <v>99</v>
      </c>
      <c r="AG32" t="s">
        <v>100</v>
      </c>
      <c r="AH32" t="s">
        <v>196</v>
      </c>
      <c r="AI32" t="s">
        <v>171</v>
      </c>
      <c r="AJ32" t="s">
        <v>172</v>
      </c>
      <c r="AK32" t="s">
        <v>173</v>
      </c>
      <c r="AL32">
        <v>7</v>
      </c>
      <c r="AM32" t="s">
        <v>98</v>
      </c>
      <c r="AN32">
        <v>15</v>
      </c>
      <c r="AO32">
        <v>15</v>
      </c>
      <c r="AP32">
        <v>70</v>
      </c>
      <c r="AQ32">
        <v>0</v>
      </c>
      <c r="AR32" t="s">
        <v>105</v>
      </c>
      <c r="AS32" t="s">
        <v>199</v>
      </c>
      <c r="AW32">
        <f t="shared" si="7"/>
        <v>1</v>
      </c>
      <c r="AX32">
        <f t="shared" si="8"/>
        <v>1</v>
      </c>
      <c r="AY32">
        <f t="shared" si="9"/>
        <v>0</v>
      </c>
      <c r="AZ32">
        <f t="shared" si="10"/>
        <v>1</v>
      </c>
      <c r="BA32">
        <f t="shared" si="11"/>
        <v>1</v>
      </c>
      <c r="BB32">
        <f>SUM(AW32:BA32)</f>
        <v>4</v>
      </c>
      <c r="BC32" t="s">
        <v>173</v>
      </c>
      <c r="BE32">
        <f>MATCH(U33,{"Strongly disagree";"Disagree";"Somewhat disagree";"Neither agree nor disagree";"Somewhat agree";"Agree";"Strongly agree"},0)</f>
        <v>1</v>
      </c>
      <c r="BF32">
        <f>MATCH(W33,{"Strongly disagree";"Disagree";"Somewhat disagree";"Neither agree nor disagree";"Somewhat agree";"Agree";"Strongly agree"},0)</f>
        <v>2</v>
      </c>
      <c r="BG32">
        <f>MATCH(Y33,{"Strongly disagree";"Disagree";"Somewhat disagree";"Neither agree nor disagree";"Somewhat agree";"Agree";"Strongly agree"},0)</f>
        <v>6</v>
      </c>
      <c r="BI32">
        <f t="shared" si="1"/>
        <v>0</v>
      </c>
      <c r="BJ32">
        <f t="shared" si="2"/>
        <v>0.16666666666666666</v>
      </c>
      <c r="BK32">
        <f t="shared" si="3"/>
        <v>0.83333333333333337</v>
      </c>
      <c r="BP32">
        <f t="shared" si="4"/>
        <v>0.41666666666666669</v>
      </c>
      <c r="BQ32">
        <f t="shared" si="0"/>
        <v>0.55555555555555558</v>
      </c>
      <c r="BR32">
        <f t="shared" si="5"/>
        <v>0.82499999999999996</v>
      </c>
      <c r="BS32">
        <f t="shared" si="12"/>
        <v>0.5</v>
      </c>
      <c r="BT32">
        <f>MATCH(LOWER(CLEAN(TRIM(AR33))),{"male";"female"},0)-1</f>
        <v>0</v>
      </c>
      <c r="BU32">
        <v>4</v>
      </c>
      <c r="BV32">
        <v>4</v>
      </c>
      <c r="BW32">
        <f>CHOOSE(
    MATCH(
        LOWER(CLEAN(TRIM(AS33))),
        {"bachelor - graduated";"bachalor - second year";"bachelor - third year";"masters - second year";"masters - first year";"master - graduated";"bachalor - first year";"bachelor - fourth year";"doctoral degree - phd or equivalent"},
        0
    ),
    16,14,15,18,17,18,13,16,21
)</f>
        <v>18</v>
      </c>
      <c r="BX32">
        <f t="shared" si="13"/>
        <v>0.25</v>
      </c>
      <c r="BY32">
        <v>10</v>
      </c>
      <c r="BZ32">
        <f t="shared" si="6"/>
        <v>1</v>
      </c>
    </row>
    <row r="33" spans="1:78" x14ac:dyDescent="0.2">
      <c r="A33" t="s">
        <v>200</v>
      </c>
      <c r="B33" t="s">
        <v>201</v>
      </c>
      <c r="C33" t="s">
        <v>48</v>
      </c>
      <c r="D33" t="s">
        <v>202</v>
      </c>
      <c r="E33" t="s">
        <v>84</v>
      </c>
      <c r="F33" t="s">
        <v>203</v>
      </c>
      <c r="G33" t="s">
        <v>86</v>
      </c>
      <c r="H33" t="s">
        <v>204</v>
      </c>
      <c r="I33" t="s">
        <v>205</v>
      </c>
      <c r="N33" t="s">
        <v>206</v>
      </c>
      <c r="O33" t="s">
        <v>207</v>
      </c>
      <c r="P33" t="s">
        <v>156</v>
      </c>
      <c r="Q33" t="s">
        <v>92</v>
      </c>
      <c r="T33">
        <v>1</v>
      </c>
      <c r="U33" t="s">
        <v>166</v>
      </c>
      <c r="V33" t="s">
        <v>93</v>
      </c>
      <c r="W33" t="s">
        <v>167</v>
      </c>
      <c r="X33" t="s">
        <v>93</v>
      </c>
      <c r="Y33" t="s">
        <v>93</v>
      </c>
      <c r="Z33" t="s">
        <v>108</v>
      </c>
      <c r="AA33" t="s">
        <v>195</v>
      </c>
      <c r="AB33">
        <v>10</v>
      </c>
      <c r="AC33">
        <v>0</v>
      </c>
      <c r="AD33">
        <v>30</v>
      </c>
      <c r="AE33">
        <v>60</v>
      </c>
      <c r="AF33" t="s">
        <v>169</v>
      </c>
      <c r="AG33" t="s">
        <v>100</v>
      </c>
      <c r="AH33" t="s">
        <v>170</v>
      </c>
      <c r="AI33" t="s">
        <v>171</v>
      </c>
      <c r="AJ33" t="s">
        <v>172</v>
      </c>
      <c r="AK33" t="s">
        <v>173</v>
      </c>
      <c r="AL33">
        <v>7</v>
      </c>
      <c r="AM33" t="s">
        <v>97</v>
      </c>
      <c r="AN33">
        <v>20</v>
      </c>
      <c r="AO33">
        <v>0</v>
      </c>
      <c r="AP33">
        <v>40</v>
      </c>
      <c r="AQ33">
        <v>40</v>
      </c>
      <c r="AR33" t="s">
        <v>105</v>
      </c>
      <c r="AS33" t="s">
        <v>199</v>
      </c>
      <c r="AW33">
        <f t="shared" si="7"/>
        <v>0</v>
      </c>
      <c r="AX33">
        <f t="shared" si="8"/>
        <v>1</v>
      </c>
      <c r="AY33">
        <f t="shared" si="9"/>
        <v>1</v>
      </c>
      <c r="AZ33">
        <f t="shared" si="10"/>
        <v>1</v>
      </c>
      <c r="BA33">
        <f t="shared" si="11"/>
        <v>1</v>
      </c>
      <c r="BB33">
        <f>SUM(AW33:BA33)</f>
        <v>4</v>
      </c>
      <c r="BC33" t="s">
        <v>173</v>
      </c>
      <c r="BE33">
        <f>MATCH(U34,{"Strongly disagree";"Disagree";"Somewhat disagree";"Neither agree nor disagree";"Somewhat agree";"Agree";"Strongly agree"},0)</f>
        <v>5</v>
      </c>
      <c r="BF33">
        <f>MATCH(W34,{"Strongly disagree";"Disagree";"Somewhat disagree";"Neither agree nor disagree";"Somewhat agree";"Agree";"Strongly agree"},0)</f>
        <v>2</v>
      </c>
      <c r="BG33">
        <f>MATCH(Y34,{"Strongly disagree";"Disagree";"Somewhat disagree";"Neither agree nor disagree";"Somewhat agree";"Agree";"Strongly agree"},0)</f>
        <v>6</v>
      </c>
      <c r="BI33">
        <f t="shared" si="1"/>
        <v>0.66666666666666663</v>
      </c>
      <c r="BJ33">
        <f t="shared" si="2"/>
        <v>0.16666666666666666</v>
      </c>
      <c r="BK33">
        <f t="shared" si="3"/>
        <v>0.83333333333333337</v>
      </c>
      <c r="BP33">
        <f t="shared" si="4"/>
        <v>0.74999999999999989</v>
      </c>
      <c r="BQ33">
        <f t="shared" si="0"/>
        <v>0.77777777777777768</v>
      </c>
      <c r="BR33">
        <f t="shared" si="5"/>
        <v>0.375</v>
      </c>
      <c r="BT33">
        <f>MATCH(LOWER(CLEAN(TRIM(AR34))),{"male";"female"},0)-1</f>
        <v>0</v>
      </c>
      <c r="BU33">
        <v>4</v>
      </c>
      <c r="BV33">
        <v>4</v>
      </c>
      <c r="BW33">
        <f>CHOOSE(
    MATCH(
        LOWER(CLEAN(TRIM(AS34))),
        {"bachelor - graduated";"bachalor - second year";"bachelor - third year";"masters - second year";"masters - first year";"master - graduated";"bachalor - first year";"bachelor - fourth year";"doctoral degree - phd or equivalent"},
        0
    ),
    16,14,15,18,17,18,13,16,21
)</f>
        <v>17</v>
      </c>
      <c r="BX33">
        <f t="shared" si="13"/>
        <v>-3.75</v>
      </c>
      <c r="BZ33">
        <f t="shared" si="6"/>
        <v>1</v>
      </c>
    </row>
    <row r="34" spans="1:78" x14ac:dyDescent="0.2">
      <c r="A34" t="s">
        <v>238</v>
      </c>
      <c r="B34" t="s">
        <v>239</v>
      </c>
      <c r="C34" t="s">
        <v>48</v>
      </c>
      <c r="D34" t="s">
        <v>240</v>
      </c>
      <c r="E34" t="s">
        <v>84</v>
      </c>
      <c r="F34" t="s">
        <v>241</v>
      </c>
      <c r="G34" t="s">
        <v>86</v>
      </c>
      <c r="H34" t="s">
        <v>242</v>
      </c>
      <c r="I34" t="s">
        <v>243</v>
      </c>
      <c r="N34" t="s">
        <v>126</v>
      </c>
      <c r="O34" t="s">
        <v>127</v>
      </c>
      <c r="P34" t="s">
        <v>156</v>
      </c>
      <c r="Q34" t="s">
        <v>92</v>
      </c>
      <c r="T34">
        <v>1</v>
      </c>
      <c r="U34" t="s">
        <v>237</v>
      </c>
      <c r="V34" t="s">
        <v>237</v>
      </c>
      <c r="W34" t="s">
        <v>167</v>
      </c>
      <c r="X34" t="s">
        <v>167</v>
      </c>
      <c r="Y34" t="s">
        <v>93</v>
      </c>
      <c r="Z34" t="s">
        <v>95</v>
      </c>
      <c r="AB34">
        <v>50</v>
      </c>
      <c r="AC34">
        <v>5</v>
      </c>
      <c r="AD34">
        <v>40</v>
      </c>
      <c r="AE34">
        <v>5</v>
      </c>
      <c r="AF34" t="s">
        <v>99</v>
      </c>
      <c r="AG34" t="s">
        <v>100</v>
      </c>
      <c r="AH34" t="s">
        <v>196</v>
      </c>
      <c r="AI34" t="s">
        <v>171</v>
      </c>
      <c r="AJ34" t="s">
        <v>172</v>
      </c>
      <c r="AK34" t="s">
        <v>173</v>
      </c>
      <c r="AL34">
        <v>3</v>
      </c>
      <c r="AR34" t="s">
        <v>105</v>
      </c>
      <c r="AS34" t="s">
        <v>456</v>
      </c>
      <c r="AW34">
        <f t="shared" si="7"/>
        <v>1</v>
      </c>
      <c r="AX34">
        <f t="shared" si="8"/>
        <v>1</v>
      </c>
      <c r="AY34">
        <f t="shared" si="9"/>
        <v>0</v>
      </c>
      <c r="AZ34">
        <f t="shared" si="10"/>
        <v>1</v>
      </c>
      <c r="BA34">
        <f t="shared" si="11"/>
        <v>1</v>
      </c>
      <c r="BB34">
        <f>SUM(AW34:BA34)</f>
        <v>4</v>
      </c>
      <c r="BC34" t="s">
        <v>173</v>
      </c>
      <c r="BE34">
        <f>MATCH(U35,{"Strongly disagree";"Disagree";"Somewhat disagree";"Neither agree nor disagree";"Somewhat agree";"Agree";"Strongly agree"},0)</f>
        <v>6</v>
      </c>
      <c r="BF34">
        <f>MATCH(W35,{"Strongly disagree";"Disagree";"Somewhat disagree";"Neither agree nor disagree";"Somewhat agree";"Agree";"Strongly agree"},0)</f>
        <v>2</v>
      </c>
      <c r="BG34">
        <f>MATCH(Y35,{"Strongly disagree";"Disagree";"Somewhat disagree";"Neither agree nor disagree";"Somewhat agree";"Agree";"Strongly agree"},0)</f>
        <v>5</v>
      </c>
      <c r="BI34">
        <f t="shared" si="1"/>
        <v>0.83333333333333337</v>
      </c>
      <c r="BJ34">
        <f t="shared" si="2"/>
        <v>0.16666666666666666</v>
      </c>
      <c r="BK34">
        <f t="shared" si="3"/>
        <v>0.66666666666666663</v>
      </c>
      <c r="BP34">
        <f t="shared" ref="BP34:BP55" si="14">0.5*(BI34+1-BJ34)</f>
        <v>0.83333333333333337</v>
      </c>
      <c r="BQ34">
        <f t="shared" ref="BQ34:BQ55" si="15">1/3*(BI34+1-BJ34+BK34)</f>
        <v>0.77777777777777779</v>
      </c>
      <c r="BR34">
        <f t="shared" si="5"/>
        <v>0.875</v>
      </c>
      <c r="BS34">
        <f t="shared" si="12"/>
        <v>0.5</v>
      </c>
      <c r="BT34">
        <f>MATCH(LOWER(CLEAN(TRIM(AR35))),{"male";"female"},0)-1</f>
        <v>1</v>
      </c>
      <c r="BU34">
        <v>3</v>
      </c>
      <c r="BV34">
        <v>5</v>
      </c>
      <c r="BW34">
        <f>CHOOSE(
    MATCH(
        LOWER(CLEAN(TRIM(AS35))),
        {"bachelor - graduated";"bachalor - second year";"bachelor - third year";"masters - second year";"masters - first year";"master - graduated";"bachalor - first year";"bachelor - fourth year";"doctoral degree - phd or equivalent"},
        0
    ),
    16,14,15,18,17,18,13,16,21
)</f>
        <v>18</v>
      </c>
      <c r="BX34">
        <f t="shared" si="13"/>
        <v>6.25</v>
      </c>
      <c r="BY34">
        <v>1</v>
      </c>
      <c r="BZ34">
        <f t="shared" si="6"/>
        <v>1</v>
      </c>
    </row>
    <row r="35" spans="1:78" x14ac:dyDescent="0.2">
      <c r="A35" t="s">
        <v>244</v>
      </c>
      <c r="B35" t="s">
        <v>245</v>
      </c>
      <c r="C35" t="s">
        <v>48</v>
      </c>
      <c r="D35" t="s">
        <v>246</v>
      </c>
      <c r="E35" t="s">
        <v>84</v>
      </c>
      <c r="F35" t="s">
        <v>247</v>
      </c>
      <c r="G35" t="s">
        <v>86</v>
      </c>
      <c r="H35" t="s">
        <v>248</v>
      </c>
      <c r="I35" t="s">
        <v>249</v>
      </c>
      <c r="N35" t="s">
        <v>250</v>
      </c>
      <c r="O35" t="s">
        <v>251</v>
      </c>
      <c r="P35" t="s">
        <v>156</v>
      </c>
      <c r="Q35" t="s">
        <v>92</v>
      </c>
      <c r="T35">
        <v>1</v>
      </c>
      <c r="U35" t="s">
        <v>93</v>
      </c>
      <c r="V35" t="s">
        <v>93</v>
      </c>
      <c r="W35" t="s">
        <v>167</v>
      </c>
      <c r="X35" t="s">
        <v>167</v>
      </c>
      <c r="Y35" t="s">
        <v>237</v>
      </c>
      <c r="Z35" t="s">
        <v>108</v>
      </c>
      <c r="AA35" t="s">
        <v>528</v>
      </c>
      <c r="AB35">
        <v>0</v>
      </c>
      <c r="AC35">
        <v>0</v>
      </c>
      <c r="AD35">
        <v>50</v>
      </c>
      <c r="AE35">
        <v>50</v>
      </c>
      <c r="AF35" t="s">
        <v>169</v>
      </c>
      <c r="AG35" t="s">
        <v>100</v>
      </c>
      <c r="AH35" t="s">
        <v>196</v>
      </c>
      <c r="AI35" t="s">
        <v>171</v>
      </c>
      <c r="AJ35" t="s">
        <v>172</v>
      </c>
      <c r="AK35" t="s">
        <v>272</v>
      </c>
      <c r="AL35">
        <v>13</v>
      </c>
      <c r="AM35" t="s">
        <v>134</v>
      </c>
      <c r="AN35">
        <v>0</v>
      </c>
      <c r="AO35">
        <v>0</v>
      </c>
      <c r="AP35">
        <v>50</v>
      </c>
      <c r="AQ35">
        <v>50</v>
      </c>
      <c r="AR35" t="s">
        <v>198</v>
      </c>
      <c r="AS35" t="s">
        <v>199</v>
      </c>
      <c r="AW35">
        <f t="shared" si="7"/>
        <v>0</v>
      </c>
      <c r="AX35">
        <f t="shared" si="8"/>
        <v>1</v>
      </c>
      <c r="AY35">
        <f t="shared" si="9"/>
        <v>0</v>
      </c>
      <c r="AZ35">
        <f t="shared" si="10"/>
        <v>1</v>
      </c>
      <c r="BA35">
        <f t="shared" si="11"/>
        <v>1</v>
      </c>
      <c r="BB35">
        <f>SUM(AW35:BA35)</f>
        <v>3</v>
      </c>
      <c r="BC35" t="s">
        <v>272</v>
      </c>
      <c r="BE35">
        <f>MATCH(U36,{"Strongly disagree";"Disagree";"Somewhat disagree";"Neither agree nor disagree";"Somewhat agree";"Agree";"Strongly agree"},0)</f>
        <v>2</v>
      </c>
      <c r="BF35">
        <f>MATCH(W36,{"Strongly disagree";"Disagree";"Somewhat disagree";"Neither agree nor disagree";"Somewhat agree";"Agree";"Strongly agree"},0)</f>
        <v>5</v>
      </c>
      <c r="BG35">
        <f>MATCH(Y36,{"Strongly disagree";"Disagree";"Somewhat disagree";"Neither agree nor disagree";"Somewhat agree";"Agree";"Strongly agree"},0)</f>
        <v>5</v>
      </c>
      <c r="BI35">
        <f t="shared" si="1"/>
        <v>0.16666666666666666</v>
      </c>
      <c r="BJ35">
        <f t="shared" si="2"/>
        <v>0.66666666666666663</v>
      </c>
      <c r="BK35">
        <f t="shared" si="3"/>
        <v>0.66666666666666663</v>
      </c>
      <c r="BP35">
        <f t="shared" si="14"/>
        <v>0.25000000000000006</v>
      </c>
      <c r="BQ35">
        <f t="shared" si="15"/>
        <v>0.3888888888888889</v>
      </c>
      <c r="BR35">
        <f t="shared" si="5"/>
        <v>0.55000000000000004</v>
      </c>
      <c r="BS35">
        <f t="shared" si="12"/>
        <v>0.63749999999999996</v>
      </c>
      <c r="BT35">
        <f>MATCH(LOWER(CLEAN(TRIM(AR36))),{"male";"female"},0)-1</f>
        <v>1</v>
      </c>
      <c r="BU35">
        <v>3</v>
      </c>
      <c r="BV35">
        <v>3</v>
      </c>
      <c r="BW35">
        <f>CHOOSE(
    MATCH(
        LOWER(CLEAN(TRIM(AS36))),
        {"bachelor - graduated";"bachalor - second year";"bachelor - third year";"masters - second year";"masters - first year";"master - graduated";"bachalor - first year";"bachelor - fourth year";"doctoral degree - phd or equivalent"},
        0
    ),
    16,14,15,18,17,18,13,16,21
)</f>
        <v>18</v>
      </c>
      <c r="BX35">
        <f t="shared" si="13"/>
        <v>-1.75</v>
      </c>
      <c r="BY35">
        <v>6</v>
      </c>
      <c r="BZ35">
        <f t="shared" si="6"/>
        <v>1</v>
      </c>
    </row>
    <row r="36" spans="1:78" x14ac:dyDescent="0.2">
      <c r="A36" t="s">
        <v>252</v>
      </c>
      <c r="B36" t="s">
        <v>253</v>
      </c>
      <c r="C36" t="s">
        <v>48</v>
      </c>
      <c r="D36" t="s">
        <v>254</v>
      </c>
      <c r="E36" t="s">
        <v>84</v>
      </c>
      <c r="F36" t="s">
        <v>255</v>
      </c>
      <c r="G36" t="s">
        <v>86</v>
      </c>
      <c r="H36" t="s">
        <v>256</v>
      </c>
      <c r="I36" t="s">
        <v>257</v>
      </c>
      <c r="N36" t="s">
        <v>258</v>
      </c>
      <c r="O36" t="s">
        <v>259</v>
      </c>
      <c r="P36" t="s">
        <v>156</v>
      </c>
      <c r="Q36" t="s">
        <v>92</v>
      </c>
      <c r="T36">
        <v>1</v>
      </c>
      <c r="U36" t="s">
        <v>167</v>
      </c>
      <c r="V36" t="s">
        <v>237</v>
      </c>
      <c r="W36" t="s">
        <v>237</v>
      </c>
      <c r="X36" t="s">
        <v>237</v>
      </c>
      <c r="Y36" t="s">
        <v>237</v>
      </c>
      <c r="Z36" t="s">
        <v>108</v>
      </c>
      <c r="AA36" t="s">
        <v>218</v>
      </c>
      <c r="AB36">
        <v>30</v>
      </c>
      <c r="AC36">
        <v>10</v>
      </c>
      <c r="AD36">
        <v>40</v>
      </c>
      <c r="AE36">
        <v>20</v>
      </c>
      <c r="AF36" t="s">
        <v>99</v>
      </c>
      <c r="AG36" t="s">
        <v>100</v>
      </c>
      <c r="AH36" t="s">
        <v>170</v>
      </c>
      <c r="AI36" t="s">
        <v>102</v>
      </c>
      <c r="AJ36" t="s">
        <v>137</v>
      </c>
      <c r="AK36" t="s">
        <v>197</v>
      </c>
      <c r="AL36">
        <v>5</v>
      </c>
      <c r="AM36" t="s">
        <v>176</v>
      </c>
      <c r="AN36">
        <v>30</v>
      </c>
      <c r="AO36">
        <v>5</v>
      </c>
      <c r="AP36">
        <v>45</v>
      </c>
      <c r="AQ36">
        <v>20</v>
      </c>
      <c r="AR36" t="s">
        <v>198</v>
      </c>
      <c r="AS36" t="s">
        <v>326</v>
      </c>
      <c r="AW36">
        <f t="shared" si="7"/>
        <v>1</v>
      </c>
      <c r="AX36">
        <f t="shared" si="8"/>
        <v>1</v>
      </c>
      <c r="AY36">
        <f t="shared" si="9"/>
        <v>1</v>
      </c>
      <c r="AZ36">
        <f t="shared" si="10"/>
        <v>0</v>
      </c>
      <c r="BA36">
        <f t="shared" si="11"/>
        <v>0</v>
      </c>
      <c r="BB36">
        <f>SUM(AW36:BA36)</f>
        <v>3</v>
      </c>
      <c r="BC36" t="s">
        <v>197</v>
      </c>
      <c r="BE36">
        <f>MATCH(U37,{"Strongly disagree";"Disagree";"Somewhat disagree";"Neither agree nor disagree";"Somewhat agree";"Agree";"Strongly agree"},0)</f>
        <v>6</v>
      </c>
      <c r="BF36">
        <f>MATCH(W37,{"Strongly disagree";"Disagree";"Somewhat disagree";"Neither agree nor disagree";"Somewhat agree";"Agree";"Strongly agree"},0)</f>
        <v>2</v>
      </c>
      <c r="BG36">
        <f>MATCH(Y37,{"Strongly disagree";"Disagree";"Somewhat disagree";"Neither agree nor disagree";"Somewhat agree";"Agree";"Strongly agree"},0)</f>
        <v>6</v>
      </c>
      <c r="BI36">
        <f t="shared" si="1"/>
        <v>0.83333333333333337</v>
      </c>
      <c r="BJ36">
        <f t="shared" si="2"/>
        <v>0.16666666666666666</v>
      </c>
      <c r="BK36">
        <f t="shared" si="3"/>
        <v>0.83333333333333337</v>
      </c>
      <c r="BP36">
        <f t="shared" si="14"/>
        <v>0.83333333333333337</v>
      </c>
      <c r="BQ36">
        <f t="shared" si="15"/>
        <v>0.83333333333333326</v>
      </c>
      <c r="BR36">
        <f t="shared" si="5"/>
        <v>0.625</v>
      </c>
      <c r="BS36">
        <f t="shared" si="12"/>
        <v>0.91249999999999998</v>
      </c>
      <c r="BT36">
        <f>MATCH(LOWER(CLEAN(TRIM(AR37))),{"male";"female"},0)-1</f>
        <v>0</v>
      </c>
      <c r="BU36">
        <v>4</v>
      </c>
      <c r="BV36">
        <v>4</v>
      </c>
      <c r="BW36">
        <f>CHOOSE(
    MATCH(
        LOWER(CLEAN(TRIM(AS37))),
        {"bachelor - graduated";"bachalor - second year";"bachelor - third year";"masters - second year";"masters - first year";"master - graduated";"bachalor - first year";"bachelor - fourth year";"doctoral degree - phd or equivalent"},
        0
    ),
    16,14,15,18,17,18,13,16,21
)</f>
        <v>18</v>
      </c>
      <c r="BX36">
        <f t="shared" si="13"/>
        <v>-0.75</v>
      </c>
      <c r="BY36">
        <v>5</v>
      </c>
      <c r="BZ36">
        <f t="shared" si="6"/>
        <v>1</v>
      </c>
    </row>
    <row r="37" spans="1:78" x14ac:dyDescent="0.2">
      <c r="A37" t="s">
        <v>260</v>
      </c>
      <c r="B37" t="s">
        <v>261</v>
      </c>
      <c r="C37" t="s">
        <v>48</v>
      </c>
      <c r="D37" t="s">
        <v>262</v>
      </c>
      <c r="E37" t="s">
        <v>84</v>
      </c>
      <c r="F37" t="s">
        <v>263</v>
      </c>
      <c r="G37" t="s">
        <v>86</v>
      </c>
      <c r="H37" t="s">
        <v>264</v>
      </c>
      <c r="I37" t="s">
        <v>265</v>
      </c>
      <c r="N37" t="s">
        <v>163</v>
      </c>
      <c r="O37" t="s">
        <v>164</v>
      </c>
      <c r="P37" t="s">
        <v>156</v>
      </c>
      <c r="Q37" t="s">
        <v>92</v>
      </c>
      <c r="T37">
        <v>1</v>
      </c>
      <c r="U37" t="s">
        <v>93</v>
      </c>
      <c r="V37" t="s">
        <v>94</v>
      </c>
      <c r="W37" t="s">
        <v>167</v>
      </c>
      <c r="X37" t="s">
        <v>167</v>
      </c>
      <c r="Y37" t="s">
        <v>93</v>
      </c>
      <c r="Z37" t="s">
        <v>108</v>
      </c>
      <c r="AA37" t="s">
        <v>174</v>
      </c>
      <c r="AB37">
        <v>15</v>
      </c>
      <c r="AC37">
        <v>5</v>
      </c>
      <c r="AD37">
        <v>80</v>
      </c>
      <c r="AE37">
        <v>0</v>
      </c>
      <c r="AF37" t="s">
        <v>99</v>
      </c>
      <c r="AG37" t="s">
        <v>100</v>
      </c>
      <c r="AH37" t="s">
        <v>196</v>
      </c>
      <c r="AI37" t="s">
        <v>171</v>
      </c>
      <c r="AJ37" t="s">
        <v>172</v>
      </c>
      <c r="AK37" t="s">
        <v>173</v>
      </c>
      <c r="AL37">
        <v>6</v>
      </c>
      <c r="AM37" t="s">
        <v>98</v>
      </c>
      <c r="AN37">
        <v>15</v>
      </c>
      <c r="AO37">
        <v>5</v>
      </c>
      <c r="AP37">
        <v>80</v>
      </c>
      <c r="AQ37">
        <v>0</v>
      </c>
      <c r="AR37" t="s">
        <v>105</v>
      </c>
      <c r="AS37" t="s">
        <v>199</v>
      </c>
      <c r="AW37">
        <f t="shared" si="7"/>
        <v>1</v>
      </c>
      <c r="AX37">
        <f t="shared" si="8"/>
        <v>1</v>
      </c>
      <c r="AY37">
        <f t="shared" si="9"/>
        <v>0</v>
      </c>
      <c r="AZ37">
        <f t="shared" si="10"/>
        <v>1</v>
      </c>
      <c r="BA37">
        <f t="shared" si="11"/>
        <v>1</v>
      </c>
      <c r="BB37">
        <f>SUM(AW37:BA37)</f>
        <v>4</v>
      </c>
      <c r="BC37" t="s">
        <v>173</v>
      </c>
      <c r="BE37">
        <f>MATCH(U38,{"Strongly disagree";"Disagree";"Somewhat disagree";"Neither agree nor disagree";"Somewhat agree";"Agree";"Strongly agree"},0)</f>
        <v>5</v>
      </c>
      <c r="BF37">
        <f>MATCH(W38,{"Strongly disagree";"Disagree";"Somewhat disagree";"Neither agree nor disagree";"Somewhat agree";"Agree";"Strongly agree"},0)</f>
        <v>3</v>
      </c>
      <c r="BG37">
        <f>MATCH(Y38,{"Strongly disagree";"Disagree";"Somewhat disagree";"Neither agree nor disagree";"Somewhat agree";"Agree";"Strongly agree"},0)</f>
        <v>3</v>
      </c>
      <c r="BI37">
        <f t="shared" si="1"/>
        <v>0.66666666666666663</v>
      </c>
      <c r="BJ37">
        <f t="shared" si="2"/>
        <v>0.33333333333333331</v>
      </c>
      <c r="BK37">
        <f t="shared" si="3"/>
        <v>0.33333333333333331</v>
      </c>
      <c r="BP37">
        <f t="shared" si="14"/>
        <v>0.66666666666666663</v>
      </c>
      <c r="BQ37">
        <f t="shared" si="15"/>
        <v>0.55555555555555547</v>
      </c>
      <c r="BR37">
        <f t="shared" si="5"/>
        <v>0.8</v>
      </c>
      <c r="BS37">
        <f t="shared" si="12"/>
        <v>0.8</v>
      </c>
      <c r="BT37">
        <f>MATCH(LOWER(CLEAN(TRIM(AR38))),{"male";"female"},0)-1</f>
        <v>0</v>
      </c>
      <c r="BU37">
        <v>5</v>
      </c>
      <c r="BV37">
        <v>3</v>
      </c>
      <c r="BW37">
        <f>CHOOSE(
    MATCH(
        LOWER(CLEAN(TRIM(AS38))),
        {"bachelor - graduated";"bachalor - second year";"bachelor - third year";"masters - second year";"masters - first year";"master - graduated";"bachalor - first year";"bachelor - fourth year";"doctoral degree - phd or equivalent"},
        0
    ),
    16,14,15,18,17,18,13,16,21
)</f>
        <v>18</v>
      </c>
      <c r="BX37">
        <f t="shared" si="13"/>
        <v>-0.75</v>
      </c>
      <c r="BY37">
        <v>5</v>
      </c>
      <c r="BZ37">
        <f t="shared" si="6"/>
        <v>1</v>
      </c>
    </row>
    <row r="38" spans="1:78" x14ac:dyDescent="0.2">
      <c r="A38" t="s">
        <v>282</v>
      </c>
      <c r="B38" t="s">
        <v>283</v>
      </c>
      <c r="C38" t="s">
        <v>48</v>
      </c>
      <c r="D38" t="s">
        <v>284</v>
      </c>
      <c r="E38" t="s">
        <v>84</v>
      </c>
      <c r="F38" t="s">
        <v>269</v>
      </c>
      <c r="G38" t="s">
        <v>86</v>
      </c>
      <c r="H38" t="s">
        <v>285</v>
      </c>
      <c r="I38" t="s">
        <v>286</v>
      </c>
      <c r="N38" t="s">
        <v>287</v>
      </c>
      <c r="O38" t="s">
        <v>288</v>
      </c>
      <c r="P38" t="s">
        <v>156</v>
      </c>
      <c r="Q38" t="s">
        <v>92</v>
      </c>
      <c r="T38">
        <v>1</v>
      </c>
      <c r="U38" t="s">
        <v>237</v>
      </c>
      <c r="V38" t="s">
        <v>237</v>
      </c>
      <c r="W38" t="s">
        <v>133</v>
      </c>
      <c r="X38" t="s">
        <v>94</v>
      </c>
      <c r="Y38" t="s">
        <v>133</v>
      </c>
      <c r="Z38" t="s">
        <v>108</v>
      </c>
      <c r="AA38" t="s">
        <v>174</v>
      </c>
      <c r="AB38">
        <v>0</v>
      </c>
      <c r="AC38">
        <v>0</v>
      </c>
      <c r="AD38">
        <v>80</v>
      </c>
      <c r="AE38">
        <v>20</v>
      </c>
      <c r="AF38" t="s">
        <v>99</v>
      </c>
      <c r="AG38" t="s">
        <v>100</v>
      </c>
      <c r="AH38" t="s">
        <v>170</v>
      </c>
      <c r="AI38" t="s">
        <v>171</v>
      </c>
      <c r="AJ38" t="s">
        <v>172</v>
      </c>
      <c r="AK38" t="s">
        <v>197</v>
      </c>
      <c r="AL38">
        <v>6</v>
      </c>
      <c r="AM38" t="s">
        <v>134</v>
      </c>
      <c r="AN38">
        <v>0</v>
      </c>
      <c r="AO38">
        <v>0</v>
      </c>
      <c r="AP38">
        <v>80</v>
      </c>
      <c r="AQ38">
        <v>20</v>
      </c>
      <c r="AR38" t="s">
        <v>105</v>
      </c>
      <c r="AS38" t="s">
        <v>199</v>
      </c>
      <c r="AW38">
        <f t="shared" si="7"/>
        <v>1</v>
      </c>
      <c r="AX38">
        <f t="shared" si="8"/>
        <v>1</v>
      </c>
      <c r="AY38">
        <f t="shared" si="9"/>
        <v>1</v>
      </c>
      <c r="AZ38">
        <f t="shared" si="10"/>
        <v>1</v>
      </c>
      <c r="BA38">
        <f t="shared" si="11"/>
        <v>1</v>
      </c>
      <c r="BB38">
        <f>SUM(AW38:BA38)</f>
        <v>5</v>
      </c>
      <c r="BC38" t="s">
        <v>197</v>
      </c>
      <c r="BE38">
        <f>MATCH(U39,{"Strongly disagree";"Disagree";"Somewhat disagree";"Neither agree nor disagree";"Somewhat agree";"Agree";"Strongly agree"},0)</f>
        <v>3</v>
      </c>
      <c r="BF38">
        <f>MATCH(W39,{"Strongly disagree";"Disagree";"Somewhat disagree";"Neither agree nor disagree";"Somewhat agree";"Agree";"Strongly agree"},0)</f>
        <v>5</v>
      </c>
      <c r="BG38">
        <f>MATCH(Y39,{"Strongly disagree";"Disagree";"Somewhat disagree";"Neither agree nor disagree";"Somewhat agree";"Agree";"Strongly agree"},0)</f>
        <v>6</v>
      </c>
      <c r="BI38">
        <f t="shared" si="1"/>
        <v>0.33333333333333331</v>
      </c>
      <c r="BJ38">
        <f t="shared" si="2"/>
        <v>0.66666666666666663</v>
      </c>
      <c r="BK38">
        <f t="shared" si="3"/>
        <v>0.83333333333333337</v>
      </c>
      <c r="BP38">
        <f t="shared" si="14"/>
        <v>0.33333333333333331</v>
      </c>
      <c r="BQ38">
        <f t="shared" si="15"/>
        <v>0.5</v>
      </c>
      <c r="BR38">
        <f t="shared" si="5"/>
        <v>0.67500000000000004</v>
      </c>
      <c r="BS38">
        <f t="shared" si="12"/>
        <v>0.8</v>
      </c>
      <c r="BT38">
        <f>MATCH(LOWER(CLEAN(TRIM(AR39))),{"male";"female"},0)-1</f>
        <v>1</v>
      </c>
      <c r="BU38">
        <v>3</v>
      </c>
      <c r="BV38">
        <v>3</v>
      </c>
      <c r="BW38">
        <f>CHOOSE(
    MATCH(
        LOWER(CLEAN(TRIM(AS39))),
        {"bachelor - graduated";"bachalor - second year";"bachelor - third year";"masters - second year";"masters - first year";"master - graduated";"bachalor - first year";"bachelor - fourth year";"doctoral degree - phd or equivalent"},
        0
    ),
    16,14,15,18,17,18,13,16,21
)</f>
        <v>18</v>
      </c>
      <c r="BX38">
        <f t="shared" si="13"/>
        <v>0.25</v>
      </c>
      <c r="BY38">
        <v>2</v>
      </c>
      <c r="BZ38">
        <f t="shared" si="6"/>
        <v>1</v>
      </c>
    </row>
    <row r="39" spans="1:78" x14ac:dyDescent="0.2">
      <c r="A39" t="s">
        <v>289</v>
      </c>
      <c r="B39" t="s">
        <v>290</v>
      </c>
      <c r="C39" t="s">
        <v>48</v>
      </c>
      <c r="D39" t="s">
        <v>291</v>
      </c>
      <c r="E39" t="s">
        <v>84</v>
      </c>
      <c r="F39" t="s">
        <v>292</v>
      </c>
      <c r="G39" t="s">
        <v>86</v>
      </c>
      <c r="H39" t="s">
        <v>293</v>
      </c>
      <c r="I39" t="s">
        <v>294</v>
      </c>
      <c r="N39" t="s">
        <v>163</v>
      </c>
      <c r="O39" t="s">
        <v>164</v>
      </c>
      <c r="P39" t="s">
        <v>156</v>
      </c>
      <c r="Q39" t="s">
        <v>92</v>
      </c>
      <c r="T39">
        <v>1</v>
      </c>
      <c r="U39" t="s">
        <v>133</v>
      </c>
      <c r="V39" t="s">
        <v>237</v>
      </c>
      <c r="W39" t="s">
        <v>237</v>
      </c>
      <c r="X39" t="s">
        <v>94</v>
      </c>
      <c r="Y39" t="s">
        <v>93</v>
      </c>
      <c r="Z39" t="s">
        <v>108</v>
      </c>
      <c r="AA39" t="s">
        <v>518</v>
      </c>
      <c r="AB39">
        <v>0</v>
      </c>
      <c r="AC39">
        <v>40</v>
      </c>
      <c r="AD39">
        <v>50</v>
      </c>
      <c r="AE39">
        <v>10</v>
      </c>
      <c r="AF39" t="s">
        <v>99</v>
      </c>
      <c r="AG39" t="s">
        <v>100</v>
      </c>
      <c r="AH39" t="s">
        <v>101</v>
      </c>
      <c r="AI39" t="s">
        <v>137</v>
      </c>
      <c r="AJ39" t="s">
        <v>172</v>
      </c>
      <c r="AK39" t="s">
        <v>197</v>
      </c>
      <c r="AL39">
        <v>7</v>
      </c>
      <c r="AM39" t="s">
        <v>134</v>
      </c>
      <c r="AN39">
        <v>0</v>
      </c>
      <c r="AO39">
        <v>40</v>
      </c>
      <c r="AP39">
        <v>50</v>
      </c>
      <c r="AQ39">
        <v>10</v>
      </c>
      <c r="AR39" t="s">
        <v>198</v>
      </c>
      <c r="AS39" t="s">
        <v>199</v>
      </c>
      <c r="AW39">
        <f t="shared" si="7"/>
        <v>1</v>
      </c>
      <c r="AX39">
        <f t="shared" si="8"/>
        <v>1</v>
      </c>
      <c r="AY39">
        <f t="shared" si="9"/>
        <v>0</v>
      </c>
      <c r="AZ39">
        <f t="shared" si="10"/>
        <v>0</v>
      </c>
      <c r="BA39">
        <f t="shared" si="11"/>
        <v>1</v>
      </c>
      <c r="BB39">
        <f>SUM(AW39:BA39)</f>
        <v>3</v>
      </c>
      <c r="BC39" t="s">
        <v>197</v>
      </c>
      <c r="BE39">
        <f>MATCH(U40,{"Strongly disagree";"Disagree";"Somewhat disagree";"Neither agree nor disagree";"Somewhat agree";"Agree";"Strongly agree"},0)</f>
        <v>6</v>
      </c>
      <c r="BF39">
        <f>MATCH(W40,{"Strongly disagree";"Disagree";"Somewhat disagree";"Neither agree nor disagree";"Somewhat agree";"Agree";"Strongly agree"},0)</f>
        <v>2</v>
      </c>
      <c r="BG39">
        <f>MATCH(Y40,{"Strongly disagree";"Disagree";"Somewhat disagree";"Neither agree nor disagree";"Somewhat agree";"Agree";"Strongly agree"},0)</f>
        <v>6</v>
      </c>
      <c r="BI39">
        <f t="shared" si="1"/>
        <v>0.83333333333333337</v>
      </c>
      <c r="BJ39">
        <f t="shared" si="2"/>
        <v>0.16666666666666666</v>
      </c>
      <c r="BK39">
        <f t="shared" si="3"/>
        <v>0.83333333333333337</v>
      </c>
      <c r="BP39">
        <f t="shared" si="14"/>
        <v>0.83333333333333337</v>
      </c>
      <c r="BQ39">
        <f t="shared" si="15"/>
        <v>0.83333333333333326</v>
      </c>
      <c r="BR39">
        <f t="shared" si="5"/>
        <v>0.57499999999999996</v>
      </c>
      <c r="BS39">
        <f t="shared" si="12"/>
        <v>0.45</v>
      </c>
      <c r="BT39">
        <f>MATCH(LOWER(CLEAN(TRIM(AR40))),{"male";"female"},0)-1</f>
        <v>1</v>
      </c>
      <c r="BU39">
        <v>3</v>
      </c>
      <c r="BV39">
        <v>2</v>
      </c>
      <c r="BW39">
        <f>CHOOSE(
    MATCH(
        LOWER(CLEAN(TRIM(AS40))),
        {"bachelor - graduated";"bachalor - second year";"bachelor - third year";"masters - second year";"masters - first year";"master - graduated";"bachalor - first year";"bachelor - fourth year";"doctoral degree - phd or equivalent"},
        0
    ),
    16,14,15,18,17,18,13,16,21
)</f>
        <v>18</v>
      </c>
      <c r="BX39">
        <f t="shared" si="13"/>
        <v>3.25</v>
      </c>
      <c r="BY39">
        <v>1</v>
      </c>
      <c r="BZ39">
        <f t="shared" si="6"/>
        <v>1</v>
      </c>
    </row>
    <row r="40" spans="1:78" x14ac:dyDescent="0.2">
      <c r="A40" t="s">
        <v>295</v>
      </c>
      <c r="B40" t="s">
        <v>296</v>
      </c>
      <c r="C40" t="s">
        <v>48</v>
      </c>
      <c r="D40" t="s">
        <v>297</v>
      </c>
      <c r="E40" t="s">
        <v>84</v>
      </c>
      <c r="F40" t="s">
        <v>298</v>
      </c>
      <c r="G40" t="s">
        <v>86</v>
      </c>
      <c r="H40" t="s">
        <v>299</v>
      </c>
      <c r="I40" t="s">
        <v>300</v>
      </c>
      <c r="N40" t="s">
        <v>301</v>
      </c>
      <c r="O40" t="s">
        <v>302</v>
      </c>
      <c r="P40" t="s">
        <v>156</v>
      </c>
      <c r="Q40" t="s">
        <v>92</v>
      </c>
      <c r="T40">
        <v>1</v>
      </c>
      <c r="U40" t="s">
        <v>93</v>
      </c>
      <c r="V40" t="s">
        <v>237</v>
      </c>
      <c r="W40" t="s">
        <v>167</v>
      </c>
      <c r="X40" t="s">
        <v>93</v>
      </c>
      <c r="Y40" t="s">
        <v>93</v>
      </c>
      <c r="Z40" t="s">
        <v>108</v>
      </c>
      <c r="AA40" t="s">
        <v>528</v>
      </c>
      <c r="AB40">
        <v>20</v>
      </c>
      <c r="AC40">
        <v>40</v>
      </c>
      <c r="AD40">
        <v>10</v>
      </c>
      <c r="AE40">
        <v>30</v>
      </c>
      <c r="AF40" t="s">
        <v>99</v>
      </c>
      <c r="AG40" t="s">
        <v>100</v>
      </c>
      <c r="AH40" t="s">
        <v>196</v>
      </c>
      <c r="AI40" t="s">
        <v>171</v>
      </c>
      <c r="AJ40" t="s">
        <v>325</v>
      </c>
      <c r="AK40" t="s">
        <v>104</v>
      </c>
      <c r="AL40">
        <v>10</v>
      </c>
      <c r="AM40" t="s">
        <v>97</v>
      </c>
      <c r="AN40">
        <v>20</v>
      </c>
      <c r="AO40">
        <v>20</v>
      </c>
      <c r="AP40">
        <v>20</v>
      </c>
      <c r="AQ40">
        <v>20</v>
      </c>
      <c r="AR40" t="s">
        <v>198</v>
      </c>
      <c r="AS40" t="s">
        <v>326</v>
      </c>
      <c r="AW40">
        <f t="shared" si="7"/>
        <v>1</v>
      </c>
      <c r="AX40">
        <f t="shared" si="8"/>
        <v>1</v>
      </c>
      <c r="AY40">
        <f t="shared" si="9"/>
        <v>0</v>
      </c>
      <c r="AZ40">
        <f t="shared" si="10"/>
        <v>1</v>
      </c>
      <c r="BA40">
        <f t="shared" si="11"/>
        <v>0</v>
      </c>
      <c r="BB40">
        <f>SUM(AW40:BA40)</f>
        <v>3</v>
      </c>
      <c r="BC40" t="s">
        <v>104</v>
      </c>
      <c r="BE40">
        <f>MATCH(U41,{"Strongly disagree";"Disagree";"Somewhat disagree";"Neither agree nor disagree";"Somewhat agree";"Agree";"Strongly agree"},0)</f>
        <v>5</v>
      </c>
      <c r="BF40">
        <f>MATCH(W41,{"Strongly disagree";"Disagree";"Somewhat disagree";"Neither agree nor disagree";"Somewhat agree";"Agree";"Strongly agree"},0)</f>
        <v>5</v>
      </c>
      <c r="BG40">
        <f>MATCH(Y41,{"Strongly disagree";"Disagree";"Somewhat disagree";"Neither agree nor disagree";"Somewhat agree";"Agree";"Strongly agree"},0)</f>
        <v>3</v>
      </c>
      <c r="BI40">
        <f t="shared" si="1"/>
        <v>0.66666666666666663</v>
      </c>
      <c r="BJ40">
        <f t="shared" si="2"/>
        <v>0.66666666666666663</v>
      </c>
      <c r="BK40">
        <f t="shared" si="3"/>
        <v>0.33333333333333331</v>
      </c>
      <c r="BP40">
        <f t="shared" si="14"/>
        <v>0.49999999999999994</v>
      </c>
      <c r="BQ40">
        <f t="shared" si="15"/>
        <v>0.44444444444444442</v>
      </c>
      <c r="BR40">
        <f t="shared" si="5"/>
        <v>0.625</v>
      </c>
      <c r="BT40">
        <f>MATCH(LOWER(CLEAN(TRIM(AR41))),{"male";"female"},0)-1</f>
        <v>0</v>
      </c>
      <c r="BU40">
        <v>5</v>
      </c>
      <c r="BV40">
        <v>5</v>
      </c>
      <c r="BW40">
        <f>CHOOSE(
    MATCH(
        LOWER(CLEAN(TRIM(AS41))),
        {"bachelor - graduated";"bachalor - second year";"bachelor - third year";"masters - second year";"masters - first year";"master - graduated";"bachalor - first year";"bachelor - fourth year";"doctoral degree - phd or equivalent"},
        0
    ),
    16,14,15,18,17,18,13,16,21
)</f>
        <v>18</v>
      </c>
      <c r="BX40">
        <f t="shared" si="13"/>
        <v>1.25</v>
      </c>
      <c r="BZ40">
        <f t="shared" si="6"/>
        <v>1</v>
      </c>
    </row>
    <row r="41" spans="1:78" x14ac:dyDescent="0.2">
      <c r="A41" t="s">
        <v>303</v>
      </c>
      <c r="B41" t="s">
        <v>304</v>
      </c>
      <c r="C41" t="s">
        <v>48</v>
      </c>
      <c r="D41" t="s">
        <v>305</v>
      </c>
      <c r="E41" t="s">
        <v>84</v>
      </c>
      <c r="F41" t="s">
        <v>306</v>
      </c>
      <c r="G41" t="s">
        <v>86</v>
      </c>
      <c r="H41" t="s">
        <v>307</v>
      </c>
      <c r="I41" t="s">
        <v>308</v>
      </c>
      <c r="N41" t="s">
        <v>309</v>
      </c>
      <c r="O41" t="s">
        <v>310</v>
      </c>
      <c r="P41" t="s">
        <v>156</v>
      </c>
      <c r="Q41" t="s">
        <v>92</v>
      </c>
      <c r="T41">
        <v>1</v>
      </c>
      <c r="U41" t="s">
        <v>237</v>
      </c>
      <c r="V41" t="s">
        <v>237</v>
      </c>
      <c r="W41" t="s">
        <v>237</v>
      </c>
      <c r="X41" t="s">
        <v>167</v>
      </c>
      <c r="Y41" t="s">
        <v>133</v>
      </c>
      <c r="Z41" t="s">
        <v>95</v>
      </c>
      <c r="AB41">
        <v>15</v>
      </c>
      <c r="AC41">
        <v>25</v>
      </c>
      <c r="AD41">
        <v>40</v>
      </c>
      <c r="AE41">
        <v>20</v>
      </c>
      <c r="AF41" t="s">
        <v>99</v>
      </c>
      <c r="AG41" t="s">
        <v>100</v>
      </c>
      <c r="AH41" t="s">
        <v>170</v>
      </c>
      <c r="AI41" t="s">
        <v>171</v>
      </c>
      <c r="AJ41" t="s">
        <v>172</v>
      </c>
      <c r="AK41" t="s">
        <v>272</v>
      </c>
      <c r="AL41">
        <v>8</v>
      </c>
      <c r="AR41" t="s">
        <v>105</v>
      </c>
      <c r="AS41" t="s">
        <v>199</v>
      </c>
      <c r="AW41">
        <f t="shared" si="7"/>
        <v>1</v>
      </c>
      <c r="AX41">
        <f t="shared" si="8"/>
        <v>1</v>
      </c>
      <c r="AY41">
        <f t="shared" si="9"/>
        <v>1</v>
      </c>
      <c r="AZ41">
        <f t="shared" si="10"/>
        <v>1</v>
      </c>
      <c r="BA41">
        <f t="shared" si="11"/>
        <v>1</v>
      </c>
      <c r="BB41">
        <f>SUM(AW41:BA41)</f>
        <v>5</v>
      </c>
      <c r="BC41" t="s">
        <v>272</v>
      </c>
      <c r="BE41">
        <f>MATCH(U42,{"Strongly disagree";"Disagree";"Somewhat disagree";"Neither agree nor disagree";"Somewhat agree";"Agree";"Strongly agree"},0)</f>
        <v>4</v>
      </c>
      <c r="BF41">
        <f>MATCH(W42,{"Strongly disagree";"Disagree";"Somewhat disagree";"Neither agree nor disagree";"Somewhat agree";"Agree";"Strongly agree"},0)</f>
        <v>4</v>
      </c>
      <c r="BG41">
        <f>MATCH(Y42,{"Strongly disagree";"Disagree";"Somewhat disagree";"Neither agree nor disagree";"Somewhat agree";"Agree";"Strongly agree"},0)</f>
        <v>6</v>
      </c>
      <c r="BI41">
        <f t="shared" si="1"/>
        <v>0.5</v>
      </c>
      <c r="BJ41">
        <f t="shared" si="2"/>
        <v>0.5</v>
      </c>
      <c r="BK41">
        <f t="shared" si="3"/>
        <v>0.83333333333333337</v>
      </c>
      <c r="BP41">
        <f t="shared" si="14"/>
        <v>0.5</v>
      </c>
      <c r="BQ41">
        <f t="shared" si="15"/>
        <v>0.61111111111111116</v>
      </c>
      <c r="BR41">
        <f t="shared" si="5"/>
        <v>0.8</v>
      </c>
      <c r="BT41">
        <f>MATCH(LOWER(CLEAN(TRIM(AR42))),{"male";"female"},0)-1</f>
        <v>0</v>
      </c>
      <c r="BU41">
        <v>0</v>
      </c>
      <c r="BV41">
        <v>2</v>
      </c>
      <c r="BW41">
        <f>CHOOSE(
    MATCH(
        LOWER(CLEAN(TRIM(AS42))),
        {"bachelor - graduated";"bachalor - second year";"bachelor - third year";"masters - second year";"masters - first year";"master - graduated";"bachalor - first year";"bachelor - fourth year";"doctoral degree - phd or equivalent"},
        0
    ),
    16,14,15,18,17,18,13,16,21
)</f>
        <v>16</v>
      </c>
      <c r="BX41">
        <f t="shared" si="13"/>
        <v>3.25</v>
      </c>
      <c r="BZ41">
        <f t="shared" si="6"/>
        <v>1</v>
      </c>
    </row>
    <row r="42" spans="1:78" x14ac:dyDescent="0.2">
      <c r="A42" t="s">
        <v>327</v>
      </c>
      <c r="B42" t="s">
        <v>328</v>
      </c>
      <c r="C42" t="s">
        <v>48</v>
      </c>
      <c r="D42" t="s">
        <v>329</v>
      </c>
      <c r="E42" t="s">
        <v>84</v>
      </c>
      <c r="F42" t="s">
        <v>330</v>
      </c>
      <c r="G42" t="s">
        <v>86</v>
      </c>
      <c r="H42" t="s">
        <v>331</v>
      </c>
      <c r="I42" t="s">
        <v>332</v>
      </c>
      <c r="N42" t="s">
        <v>333</v>
      </c>
      <c r="O42" t="s">
        <v>334</v>
      </c>
      <c r="P42" t="s">
        <v>156</v>
      </c>
      <c r="Q42" t="s">
        <v>92</v>
      </c>
      <c r="T42">
        <v>1</v>
      </c>
      <c r="U42" t="s">
        <v>94</v>
      </c>
      <c r="V42" t="s">
        <v>237</v>
      </c>
      <c r="W42" t="s">
        <v>94</v>
      </c>
      <c r="X42" t="s">
        <v>237</v>
      </c>
      <c r="Y42" t="s">
        <v>93</v>
      </c>
      <c r="Z42" t="s">
        <v>95</v>
      </c>
      <c r="AB42">
        <v>7</v>
      </c>
      <c r="AC42">
        <v>26</v>
      </c>
      <c r="AD42">
        <v>0</v>
      </c>
      <c r="AE42">
        <v>67</v>
      </c>
      <c r="AF42" t="s">
        <v>137</v>
      </c>
      <c r="AG42" t="s">
        <v>324</v>
      </c>
      <c r="AH42" t="s">
        <v>101</v>
      </c>
      <c r="AI42" t="s">
        <v>137</v>
      </c>
      <c r="AJ42" t="s">
        <v>137</v>
      </c>
      <c r="AK42" t="s">
        <v>104</v>
      </c>
      <c r="AL42">
        <v>10</v>
      </c>
      <c r="AR42" t="s">
        <v>105</v>
      </c>
      <c r="AS42" t="s">
        <v>540</v>
      </c>
      <c r="AW42">
        <f t="shared" si="7"/>
        <v>0</v>
      </c>
      <c r="AX42">
        <f t="shared" si="8"/>
        <v>0</v>
      </c>
      <c r="AY42">
        <f t="shared" si="9"/>
        <v>0</v>
      </c>
      <c r="AZ42">
        <f t="shared" si="10"/>
        <v>0</v>
      </c>
      <c r="BA42">
        <f t="shared" si="11"/>
        <v>0</v>
      </c>
      <c r="BB42">
        <f>SUM(AW42:BA42)</f>
        <v>0</v>
      </c>
      <c r="BC42" t="s">
        <v>104</v>
      </c>
      <c r="BE42">
        <f>MATCH(U43,{"Strongly disagree";"Disagree";"Somewhat disagree";"Neither agree nor disagree";"Somewhat agree";"Agree";"Strongly agree"},0)</f>
        <v>5</v>
      </c>
      <c r="BF42">
        <f>MATCH(W43,{"Strongly disagree";"Disagree";"Somewhat disagree";"Neither agree nor disagree";"Somewhat agree";"Agree";"Strongly agree"},0)</f>
        <v>3</v>
      </c>
      <c r="BG42">
        <f>MATCH(Y43,{"Strongly disagree";"Disagree";"Somewhat disagree";"Neither agree nor disagree";"Somewhat agree";"Agree";"Strongly agree"},0)</f>
        <v>6</v>
      </c>
      <c r="BI42">
        <f t="shared" si="1"/>
        <v>0.66666666666666663</v>
      </c>
      <c r="BJ42">
        <f t="shared" si="2"/>
        <v>0.33333333333333331</v>
      </c>
      <c r="BK42">
        <f t="shared" si="3"/>
        <v>0.83333333333333337</v>
      </c>
      <c r="BP42">
        <f t="shared" si="14"/>
        <v>0.66666666666666663</v>
      </c>
      <c r="BQ42">
        <f t="shared" si="15"/>
        <v>0.7222222222222221</v>
      </c>
      <c r="BR42">
        <f t="shared" si="5"/>
        <v>0.65</v>
      </c>
      <c r="BS42">
        <f t="shared" si="12"/>
        <v>0.47499999999999998</v>
      </c>
      <c r="BT42">
        <f>MATCH(LOWER(CLEAN(TRIM(AR43))),{"male";"female"},0)-1</f>
        <v>0</v>
      </c>
      <c r="BU42">
        <v>4</v>
      </c>
      <c r="BV42">
        <v>4</v>
      </c>
      <c r="BW42">
        <f>CHOOSE(
    MATCH(
        LOWER(CLEAN(TRIM(AS43))),
        {"bachelor - graduated";"bachalor - second year";"bachelor - third year";"masters - second year";"masters - first year";"master - graduated";"bachalor - first year";"bachelor - fourth year";"doctoral degree - phd or equivalent"},
        0
    ),
    16,14,15,18,17,18,13,16,21
)</f>
        <v>21</v>
      </c>
      <c r="BX42">
        <f t="shared" si="13"/>
        <v>8.25</v>
      </c>
      <c r="BY42">
        <v>3</v>
      </c>
      <c r="BZ42">
        <f t="shared" si="6"/>
        <v>1</v>
      </c>
    </row>
    <row r="43" spans="1:78" x14ac:dyDescent="0.2">
      <c r="A43" t="s">
        <v>343</v>
      </c>
      <c r="B43" t="s">
        <v>344</v>
      </c>
      <c r="C43" t="s">
        <v>48</v>
      </c>
      <c r="D43" t="s">
        <v>345</v>
      </c>
      <c r="E43" t="s">
        <v>84</v>
      </c>
      <c r="F43" t="s">
        <v>346</v>
      </c>
      <c r="G43" t="s">
        <v>86</v>
      </c>
      <c r="H43" t="s">
        <v>347</v>
      </c>
      <c r="I43" t="s">
        <v>348</v>
      </c>
      <c r="N43" t="s">
        <v>349</v>
      </c>
      <c r="O43" t="s">
        <v>350</v>
      </c>
      <c r="P43" t="s">
        <v>156</v>
      </c>
      <c r="Q43" t="s">
        <v>92</v>
      </c>
      <c r="T43">
        <v>1</v>
      </c>
      <c r="U43" t="s">
        <v>237</v>
      </c>
      <c r="V43" t="s">
        <v>93</v>
      </c>
      <c r="W43" t="s">
        <v>133</v>
      </c>
      <c r="X43" t="s">
        <v>94</v>
      </c>
      <c r="Y43" t="s">
        <v>93</v>
      </c>
      <c r="Z43" t="s">
        <v>108</v>
      </c>
      <c r="AA43" t="s">
        <v>194</v>
      </c>
      <c r="AB43">
        <v>20</v>
      </c>
      <c r="AC43">
        <v>20</v>
      </c>
      <c r="AD43">
        <v>20</v>
      </c>
      <c r="AE43">
        <v>40</v>
      </c>
      <c r="AF43" t="s">
        <v>137</v>
      </c>
      <c r="AG43" t="s">
        <v>100</v>
      </c>
      <c r="AH43" t="s">
        <v>170</v>
      </c>
      <c r="AI43" t="s">
        <v>171</v>
      </c>
      <c r="AJ43" t="s">
        <v>172</v>
      </c>
      <c r="AK43" t="s">
        <v>173</v>
      </c>
      <c r="AL43">
        <v>15</v>
      </c>
      <c r="AM43" t="s">
        <v>97</v>
      </c>
      <c r="AN43">
        <v>20</v>
      </c>
      <c r="AO43">
        <v>10</v>
      </c>
      <c r="AP43">
        <v>30</v>
      </c>
      <c r="AQ43">
        <v>30</v>
      </c>
      <c r="AR43" t="s">
        <v>105</v>
      </c>
      <c r="AS43" t="s">
        <v>541</v>
      </c>
      <c r="AW43">
        <f t="shared" si="7"/>
        <v>0</v>
      </c>
      <c r="AX43">
        <f t="shared" si="8"/>
        <v>1</v>
      </c>
      <c r="AY43">
        <f t="shared" si="9"/>
        <v>1</v>
      </c>
      <c r="AZ43">
        <f t="shared" si="10"/>
        <v>1</v>
      </c>
      <c r="BA43">
        <f t="shared" si="11"/>
        <v>1</v>
      </c>
      <c r="BB43">
        <f>SUM(AW43:BA43)</f>
        <v>4</v>
      </c>
      <c r="BC43" t="s">
        <v>173</v>
      </c>
      <c r="BE43">
        <f>MATCH(U44,{"Strongly disagree";"Disagree";"Somewhat disagree";"Neither agree nor disagree";"Somewhat agree";"Agree";"Strongly agree"},0)</f>
        <v>5</v>
      </c>
      <c r="BF43">
        <f>MATCH(W44,{"Strongly disagree";"Disagree";"Somewhat disagree";"Neither agree nor disagree";"Somewhat agree";"Agree";"Strongly agree"},0)</f>
        <v>5</v>
      </c>
      <c r="BG43">
        <f>MATCH(Y44,{"Strongly disagree";"Disagree";"Somewhat disagree";"Neither agree nor disagree";"Somewhat agree";"Agree";"Strongly agree"},0)</f>
        <v>6</v>
      </c>
      <c r="BI43">
        <f t="shared" si="1"/>
        <v>0.66666666666666663</v>
      </c>
      <c r="BJ43">
        <f t="shared" si="2"/>
        <v>0.66666666666666663</v>
      </c>
      <c r="BK43">
        <f t="shared" si="3"/>
        <v>0.83333333333333337</v>
      </c>
      <c r="BP43">
        <f t="shared" si="14"/>
        <v>0.49999999999999994</v>
      </c>
      <c r="BQ43">
        <f t="shared" si="15"/>
        <v>0.61111111111111105</v>
      </c>
      <c r="BR43">
        <f t="shared" si="5"/>
        <v>0.27500000000000002</v>
      </c>
      <c r="BT43">
        <f>MATCH(LOWER(CLEAN(TRIM(AR44))),{"male";"female"},0)-1</f>
        <v>0</v>
      </c>
      <c r="BU43">
        <v>2</v>
      </c>
      <c r="BV43">
        <v>2</v>
      </c>
      <c r="BW43">
        <f>CHOOSE(
    MATCH(
        LOWER(CLEAN(TRIM(AS44))),
        {"bachelor - graduated";"bachalor - second year";"bachelor - third year";"masters - second year";"masters - first year";"master - graduated";"bachalor - first year";"bachelor - fourth year";"doctoral degree - phd or equivalent"},
        0
    ),
    16,14,15,18,17,18,13,16,21
)</f>
        <v>21</v>
      </c>
      <c r="BX43">
        <f t="shared" si="13"/>
        <v>-2.75</v>
      </c>
      <c r="BZ43">
        <f t="shared" si="6"/>
        <v>1</v>
      </c>
    </row>
    <row r="44" spans="1:78" x14ac:dyDescent="0.2">
      <c r="A44" t="s">
        <v>368</v>
      </c>
      <c r="B44" t="s">
        <v>369</v>
      </c>
      <c r="C44" t="s">
        <v>48</v>
      </c>
      <c r="D44" t="s">
        <v>370</v>
      </c>
      <c r="E44" t="s">
        <v>84</v>
      </c>
      <c r="F44" t="s">
        <v>371</v>
      </c>
      <c r="G44" t="s">
        <v>86</v>
      </c>
      <c r="H44" t="s">
        <v>372</v>
      </c>
      <c r="I44" t="s">
        <v>373</v>
      </c>
      <c r="N44" t="s">
        <v>374</v>
      </c>
      <c r="O44" t="s">
        <v>375</v>
      </c>
      <c r="P44" t="s">
        <v>156</v>
      </c>
      <c r="Q44" t="s">
        <v>92</v>
      </c>
      <c r="T44">
        <v>1</v>
      </c>
      <c r="U44" t="s">
        <v>237</v>
      </c>
      <c r="V44" t="s">
        <v>133</v>
      </c>
      <c r="W44" t="s">
        <v>237</v>
      </c>
      <c r="X44" t="s">
        <v>93</v>
      </c>
      <c r="Y44" t="s">
        <v>93</v>
      </c>
      <c r="Z44" t="s">
        <v>95</v>
      </c>
      <c r="AB44">
        <v>60</v>
      </c>
      <c r="AC44">
        <v>20</v>
      </c>
      <c r="AD44">
        <v>10</v>
      </c>
      <c r="AE44">
        <v>10</v>
      </c>
      <c r="AF44" t="s">
        <v>137</v>
      </c>
      <c r="AG44" t="s">
        <v>137</v>
      </c>
      <c r="AH44" t="s">
        <v>170</v>
      </c>
      <c r="AI44" t="s">
        <v>171</v>
      </c>
      <c r="AJ44" t="s">
        <v>137</v>
      </c>
      <c r="AK44" t="s">
        <v>104</v>
      </c>
      <c r="AL44">
        <v>4</v>
      </c>
      <c r="AR44" t="s">
        <v>105</v>
      </c>
      <c r="AS44" t="s">
        <v>541</v>
      </c>
      <c r="AW44">
        <f t="shared" si="7"/>
        <v>0</v>
      </c>
      <c r="AX44">
        <f t="shared" si="8"/>
        <v>0</v>
      </c>
      <c r="AY44">
        <f t="shared" si="9"/>
        <v>1</v>
      </c>
      <c r="AZ44">
        <f t="shared" si="10"/>
        <v>1</v>
      </c>
      <c r="BA44">
        <f t="shared" si="11"/>
        <v>0</v>
      </c>
      <c r="BB44">
        <f>SUM(AW44:BA44)</f>
        <v>2</v>
      </c>
      <c r="BC44" t="s">
        <v>104</v>
      </c>
      <c r="BE44">
        <f>MATCH(U45,{"Strongly disagree";"Disagree";"Somewhat disagree";"Neither agree nor disagree";"Somewhat agree";"Agree";"Strongly agree"},0)</f>
        <v>5</v>
      </c>
      <c r="BF44">
        <f>MATCH(W45,{"Strongly disagree";"Disagree";"Somewhat disagree";"Neither agree nor disagree";"Somewhat agree";"Agree";"Strongly agree"},0)</f>
        <v>3</v>
      </c>
      <c r="BG44">
        <f>MATCH(Y45,{"Strongly disagree";"Disagree";"Somewhat disagree";"Neither agree nor disagree";"Somewhat agree";"Agree";"Strongly agree"},0)</f>
        <v>5</v>
      </c>
      <c r="BI44">
        <f t="shared" si="1"/>
        <v>0.66666666666666663</v>
      </c>
      <c r="BJ44">
        <f t="shared" si="2"/>
        <v>0.33333333333333331</v>
      </c>
      <c r="BK44">
        <f t="shared" si="3"/>
        <v>0.66666666666666663</v>
      </c>
      <c r="BP44">
        <f t="shared" si="14"/>
        <v>0.66666666666666663</v>
      </c>
      <c r="BQ44">
        <f t="shared" si="15"/>
        <v>0.66666666666666663</v>
      </c>
      <c r="BR44">
        <f t="shared" si="5"/>
        <v>0.8</v>
      </c>
      <c r="BT44">
        <f>MATCH(LOWER(CLEAN(TRIM(AR45))),{"male";"female"},0)-1</f>
        <v>0</v>
      </c>
      <c r="BU44">
        <v>3</v>
      </c>
      <c r="BV44">
        <v>2</v>
      </c>
      <c r="BW44">
        <f>CHOOSE(
    MATCH(
        LOWER(CLEAN(TRIM(AS45))),
        {"bachelor - graduated";"bachalor - second year";"bachelor - third year";"masters - second year";"masters - first year";"master - graduated";"bachalor - first year";"bachelor - fourth year";"doctoral degree - phd or equivalent"},
        0
    ),
    16,14,15,18,17,18,13,16,21
)</f>
        <v>18</v>
      </c>
      <c r="BX44">
        <f t="shared" si="13"/>
        <v>0.25</v>
      </c>
      <c r="BZ44">
        <f t="shared" si="6"/>
        <v>1</v>
      </c>
    </row>
    <row r="45" spans="1:78" x14ac:dyDescent="0.2">
      <c r="A45" t="s">
        <v>376</v>
      </c>
      <c r="B45" t="s">
        <v>377</v>
      </c>
      <c r="C45" t="s">
        <v>48</v>
      </c>
      <c r="D45" t="s">
        <v>378</v>
      </c>
      <c r="E45" t="s">
        <v>84</v>
      </c>
      <c r="F45" t="s">
        <v>379</v>
      </c>
      <c r="G45" t="s">
        <v>86</v>
      </c>
      <c r="H45" t="s">
        <v>380</v>
      </c>
      <c r="I45" t="s">
        <v>381</v>
      </c>
      <c r="N45" t="s">
        <v>119</v>
      </c>
      <c r="O45" t="s">
        <v>120</v>
      </c>
      <c r="P45" t="s">
        <v>382</v>
      </c>
      <c r="Q45" t="s">
        <v>92</v>
      </c>
      <c r="T45">
        <v>1</v>
      </c>
      <c r="U45" t="s">
        <v>237</v>
      </c>
      <c r="V45" t="s">
        <v>165</v>
      </c>
      <c r="W45" t="s">
        <v>133</v>
      </c>
      <c r="X45" t="s">
        <v>94</v>
      </c>
      <c r="Y45" t="s">
        <v>237</v>
      </c>
      <c r="Z45" t="s">
        <v>95</v>
      </c>
      <c r="AB45">
        <v>20</v>
      </c>
      <c r="AC45">
        <v>0</v>
      </c>
      <c r="AD45">
        <v>0</v>
      </c>
      <c r="AE45">
        <v>80</v>
      </c>
      <c r="AF45" t="s">
        <v>137</v>
      </c>
      <c r="AG45" t="s">
        <v>100</v>
      </c>
      <c r="AH45" t="s">
        <v>170</v>
      </c>
      <c r="AI45" t="s">
        <v>171</v>
      </c>
      <c r="AJ45" t="s">
        <v>325</v>
      </c>
      <c r="AK45" t="s">
        <v>104</v>
      </c>
      <c r="AL45">
        <v>7</v>
      </c>
      <c r="AR45" t="s">
        <v>105</v>
      </c>
      <c r="AS45" t="s">
        <v>199</v>
      </c>
      <c r="AW45">
        <f t="shared" si="7"/>
        <v>0</v>
      </c>
      <c r="AX45">
        <f t="shared" si="8"/>
        <v>1</v>
      </c>
      <c r="AY45">
        <f t="shared" si="9"/>
        <v>1</v>
      </c>
      <c r="AZ45">
        <f t="shared" si="10"/>
        <v>1</v>
      </c>
      <c r="BA45">
        <f t="shared" si="11"/>
        <v>0</v>
      </c>
      <c r="BB45">
        <f>SUM(AW45:BA45)</f>
        <v>3</v>
      </c>
      <c r="BC45" t="s">
        <v>104</v>
      </c>
      <c r="BE45">
        <f>MATCH(U46,{"Strongly disagree";"Disagree";"Somewhat disagree";"Neither agree nor disagree";"Somewhat agree";"Agree";"Strongly agree"},0)</f>
        <v>6</v>
      </c>
      <c r="BF45">
        <f>MATCH(W46,{"Strongly disagree";"Disagree";"Somewhat disagree";"Neither agree nor disagree";"Somewhat agree";"Agree";"Strongly agree"},0)</f>
        <v>2</v>
      </c>
      <c r="BG45">
        <f>MATCH(Y46,{"Strongly disagree";"Disagree";"Somewhat disagree";"Neither agree nor disagree";"Somewhat agree";"Agree";"Strongly agree"},0)</f>
        <v>2</v>
      </c>
      <c r="BI45">
        <f t="shared" si="1"/>
        <v>0.83333333333333337</v>
      </c>
      <c r="BJ45">
        <f t="shared" si="2"/>
        <v>0.16666666666666666</v>
      </c>
      <c r="BK45">
        <f t="shared" si="3"/>
        <v>0.16666666666666666</v>
      </c>
      <c r="BP45">
        <f t="shared" si="14"/>
        <v>0.83333333333333337</v>
      </c>
      <c r="BQ45">
        <f t="shared" si="15"/>
        <v>0.61111111111111116</v>
      </c>
      <c r="BR45">
        <f t="shared" si="5"/>
        <v>0.75</v>
      </c>
      <c r="BS45">
        <f t="shared" si="12"/>
        <v>0.3</v>
      </c>
      <c r="BT45">
        <f>MATCH(LOWER(CLEAN(TRIM(AR46))),{"male";"female"},0)-1</f>
        <v>1</v>
      </c>
      <c r="BU45">
        <v>2</v>
      </c>
      <c r="BV45">
        <v>3</v>
      </c>
      <c r="BW45">
        <f>CHOOSE(
    MATCH(
        LOWER(CLEAN(TRIM(AS46))),
        {"bachelor - graduated";"bachalor - second year";"bachelor - third year";"masters - second year";"masters - first year";"master - graduated";"bachalor - first year";"bachelor - fourth year";"doctoral degree - phd or equivalent"},
        0
    ),
    16,14,15,18,17,18,13,16,21
)</f>
        <v>18</v>
      </c>
      <c r="BX45">
        <f t="shared" si="13"/>
        <v>-2.75</v>
      </c>
      <c r="BY45">
        <v>2</v>
      </c>
      <c r="BZ45">
        <f t="shared" si="6"/>
        <v>1</v>
      </c>
    </row>
    <row r="46" spans="1:78" x14ac:dyDescent="0.2">
      <c r="A46" t="s">
        <v>383</v>
      </c>
      <c r="B46" t="s">
        <v>384</v>
      </c>
      <c r="C46" t="s">
        <v>48</v>
      </c>
      <c r="D46" t="s">
        <v>385</v>
      </c>
      <c r="E46" t="s">
        <v>84</v>
      </c>
      <c r="F46" t="s">
        <v>386</v>
      </c>
      <c r="G46" t="s">
        <v>86</v>
      </c>
      <c r="H46" t="s">
        <v>387</v>
      </c>
      <c r="I46" t="s">
        <v>388</v>
      </c>
      <c r="N46" t="s">
        <v>126</v>
      </c>
      <c r="O46" t="s">
        <v>127</v>
      </c>
      <c r="P46" t="s">
        <v>382</v>
      </c>
      <c r="Q46" t="s">
        <v>92</v>
      </c>
      <c r="T46">
        <v>1</v>
      </c>
      <c r="U46" t="s">
        <v>93</v>
      </c>
      <c r="V46" t="s">
        <v>165</v>
      </c>
      <c r="W46" t="s">
        <v>167</v>
      </c>
      <c r="X46" t="s">
        <v>133</v>
      </c>
      <c r="Y46" t="s">
        <v>167</v>
      </c>
      <c r="Z46" t="s">
        <v>108</v>
      </c>
      <c r="AA46" t="s">
        <v>518</v>
      </c>
      <c r="AB46">
        <v>0</v>
      </c>
      <c r="AC46">
        <v>0</v>
      </c>
      <c r="AD46">
        <v>100</v>
      </c>
      <c r="AE46">
        <v>0</v>
      </c>
      <c r="AF46" t="s">
        <v>169</v>
      </c>
      <c r="AG46" t="s">
        <v>324</v>
      </c>
      <c r="AH46" t="s">
        <v>101</v>
      </c>
      <c r="AI46" t="s">
        <v>171</v>
      </c>
      <c r="AJ46" t="s">
        <v>172</v>
      </c>
      <c r="AK46" t="s">
        <v>197</v>
      </c>
      <c r="AL46">
        <v>4</v>
      </c>
      <c r="AM46" t="s">
        <v>217</v>
      </c>
      <c r="AN46">
        <v>60</v>
      </c>
      <c r="AO46">
        <v>0</v>
      </c>
      <c r="AP46">
        <v>0</v>
      </c>
      <c r="AQ46">
        <v>40</v>
      </c>
      <c r="AR46" t="s">
        <v>198</v>
      </c>
      <c r="AS46" t="s">
        <v>199</v>
      </c>
      <c r="AW46">
        <f t="shared" si="7"/>
        <v>0</v>
      </c>
      <c r="AX46">
        <f t="shared" si="8"/>
        <v>0</v>
      </c>
      <c r="AY46">
        <f t="shared" si="9"/>
        <v>0</v>
      </c>
      <c r="AZ46">
        <f t="shared" si="10"/>
        <v>1</v>
      </c>
      <c r="BA46">
        <f t="shared" si="11"/>
        <v>1</v>
      </c>
      <c r="BB46">
        <f>SUM(AW46:BA46)</f>
        <v>2</v>
      </c>
      <c r="BC46" t="s">
        <v>197</v>
      </c>
      <c r="BE46">
        <f>MATCH(U47,{"Strongly disagree";"Disagree";"Somewhat disagree";"Neither agree nor disagree";"Somewhat agree";"Agree";"Strongly agree"},0)</f>
        <v>4</v>
      </c>
      <c r="BF46">
        <f>MATCH(W47,{"Strongly disagree";"Disagree";"Somewhat disagree";"Neither agree nor disagree";"Somewhat agree";"Agree";"Strongly agree"},0)</f>
        <v>4</v>
      </c>
      <c r="BG46">
        <f>MATCH(Y47,{"Strongly disagree";"Disagree";"Somewhat disagree";"Neither agree nor disagree";"Somewhat agree";"Agree";"Strongly agree"},0)</f>
        <v>7</v>
      </c>
      <c r="BI46">
        <f t="shared" si="1"/>
        <v>0.5</v>
      </c>
      <c r="BJ46">
        <f t="shared" si="2"/>
        <v>0.5</v>
      </c>
      <c r="BK46">
        <f t="shared" si="3"/>
        <v>1</v>
      </c>
      <c r="BP46">
        <f t="shared" si="14"/>
        <v>0.5</v>
      </c>
      <c r="BQ46">
        <f t="shared" si="15"/>
        <v>0.66666666666666663</v>
      </c>
      <c r="BR46">
        <f t="shared" si="5"/>
        <v>0.625</v>
      </c>
      <c r="BS46">
        <f t="shared" si="12"/>
        <v>0.77749999999999997</v>
      </c>
      <c r="BT46">
        <f>MATCH(LOWER(CLEAN(TRIM(AR47))),{"male";"female"},0)-1</f>
        <v>0</v>
      </c>
      <c r="BU46">
        <v>4</v>
      </c>
      <c r="BV46">
        <v>4</v>
      </c>
      <c r="BW46">
        <f>CHOOSE(
    MATCH(
        LOWER(CLEAN(TRIM(AS47))),
        {"bachelor - graduated";"bachalor - second year";"bachelor - third year";"masters - second year";"masters - first year";"master - graduated";"bachalor - first year";"bachelor - fourth year";"doctoral degree - phd or equivalent"},
        0
    ),
    16,14,15,18,17,18,13,16,21
)</f>
        <v>18</v>
      </c>
      <c r="BY46">
        <v>7</v>
      </c>
      <c r="BZ46">
        <f t="shared" si="6"/>
        <v>1</v>
      </c>
    </row>
    <row r="47" spans="1:78" x14ac:dyDescent="0.2">
      <c r="A47" t="s">
        <v>389</v>
      </c>
      <c r="B47" t="s">
        <v>390</v>
      </c>
      <c r="C47" t="s">
        <v>48</v>
      </c>
      <c r="D47" t="s">
        <v>391</v>
      </c>
      <c r="E47" t="s">
        <v>84</v>
      </c>
      <c r="F47" t="s">
        <v>392</v>
      </c>
      <c r="G47" t="s">
        <v>86</v>
      </c>
      <c r="H47" t="s">
        <v>393</v>
      </c>
      <c r="I47" t="s">
        <v>394</v>
      </c>
      <c r="N47" t="s">
        <v>395</v>
      </c>
      <c r="O47" t="s">
        <v>396</v>
      </c>
      <c r="P47" t="s">
        <v>156</v>
      </c>
      <c r="Q47" t="s">
        <v>92</v>
      </c>
      <c r="S47" t="s">
        <v>397</v>
      </c>
      <c r="T47">
        <v>1</v>
      </c>
      <c r="U47" t="s">
        <v>94</v>
      </c>
      <c r="V47" t="s">
        <v>165</v>
      </c>
      <c r="W47" t="s">
        <v>94</v>
      </c>
      <c r="X47" t="s">
        <v>165</v>
      </c>
      <c r="Y47" t="s">
        <v>165</v>
      </c>
      <c r="Z47" t="s">
        <v>108</v>
      </c>
      <c r="AA47" t="s">
        <v>168</v>
      </c>
      <c r="AB47">
        <v>10</v>
      </c>
      <c r="AC47">
        <v>30</v>
      </c>
      <c r="AD47">
        <v>50</v>
      </c>
      <c r="AE47">
        <v>10</v>
      </c>
      <c r="AF47" t="s">
        <v>99</v>
      </c>
      <c r="AG47" t="s">
        <v>100</v>
      </c>
      <c r="AH47" t="s">
        <v>170</v>
      </c>
      <c r="AI47" t="s">
        <v>171</v>
      </c>
      <c r="AJ47" t="s">
        <v>137</v>
      </c>
      <c r="AK47" t="s">
        <v>173</v>
      </c>
      <c r="AM47" t="s">
        <v>542</v>
      </c>
      <c r="AN47">
        <v>18</v>
      </c>
      <c r="AO47">
        <v>25</v>
      </c>
      <c r="AP47">
        <v>50</v>
      </c>
      <c r="AQ47">
        <v>2</v>
      </c>
      <c r="AR47" t="s">
        <v>105</v>
      </c>
      <c r="AS47" t="s">
        <v>326</v>
      </c>
      <c r="AW47">
        <f t="shared" si="7"/>
        <v>1</v>
      </c>
      <c r="AX47">
        <f t="shared" si="8"/>
        <v>1</v>
      </c>
      <c r="AY47">
        <f t="shared" si="9"/>
        <v>1</v>
      </c>
      <c r="AZ47">
        <f t="shared" si="10"/>
        <v>1</v>
      </c>
      <c r="BA47">
        <f t="shared" si="11"/>
        <v>0</v>
      </c>
      <c r="BB47">
        <f>SUM(AW47:BA47)</f>
        <v>4</v>
      </c>
      <c r="BC47" t="s">
        <v>173</v>
      </c>
      <c r="BE47">
        <f>MATCH(U48,{"Strongly disagree";"Disagree";"Somewhat disagree";"Neither agree nor disagree";"Somewhat agree";"Agree";"Strongly agree"},0)</f>
        <v>7</v>
      </c>
      <c r="BF47">
        <f>MATCH(W48,{"Strongly disagree";"Disagree";"Somewhat disagree";"Neither agree nor disagree";"Somewhat agree";"Agree";"Strongly agree"},0)</f>
        <v>1</v>
      </c>
      <c r="BG47">
        <f>MATCH(Y48,{"Strongly disagree";"Disagree";"Somewhat disagree";"Neither agree nor disagree";"Somewhat agree";"Agree";"Strongly agree"},0)</f>
        <v>4</v>
      </c>
      <c r="BI47">
        <f t="shared" si="1"/>
        <v>1</v>
      </c>
      <c r="BJ47">
        <f t="shared" si="2"/>
        <v>0</v>
      </c>
      <c r="BK47">
        <f t="shared" si="3"/>
        <v>0.5</v>
      </c>
      <c r="BP47">
        <f t="shared" si="14"/>
        <v>1</v>
      </c>
      <c r="BQ47">
        <f t="shared" si="15"/>
        <v>0.83333333333333326</v>
      </c>
      <c r="BR47">
        <f t="shared" si="5"/>
        <v>0.9</v>
      </c>
      <c r="BS47">
        <f t="shared" si="12"/>
        <v>0.05</v>
      </c>
      <c r="BT47">
        <f>MATCH(LOWER(CLEAN(TRIM(AR48))),{"male";"female"},0)-1</f>
        <v>0</v>
      </c>
      <c r="BU47">
        <v>5</v>
      </c>
      <c r="BV47">
        <v>5</v>
      </c>
      <c r="BW47">
        <f>CHOOSE(
    MATCH(
        LOWER(CLEAN(TRIM(AS48))),
        {"bachelor - graduated";"bachalor - second year";"bachelor - third year";"masters - second year";"masters - first year";"master - graduated";"bachalor - first year";"bachelor - fourth year";"doctoral degree - phd or equivalent"},
        0
    ),
    16,14,15,18,17,18,13,16,21
)</f>
        <v>18</v>
      </c>
      <c r="BX47">
        <f t="shared" si="13"/>
        <v>0.25</v>
      </c>
      <c r="BY47">
        <v>5</v>
      </c>
      <c r="BZ47">
        <f t="shared" si="6"/>
        <v>1</v>
      </c>
    </row>
    <row r="48" spans="1:78" x14ac:dyDescent="0.2">
      <c r="A48" t="s">
        <v>410</v>
      </c>
      <c r="B48" t="s">
        <v>411</v>
      </c>
      <c r="C48" t="s">
        <v>48</v>
      </c>
      <c r="D48" t="s">
        <v>412</v>
      </c>
      <c r="E48" t="s">
        <v>84</v>
      </c>
      <c r="F48" t="s">
        <v>413</v>
      </c>
      <c r="G48" t="s">
        <v>86</v>
      </c>
      <c r="H48" t="s">
        <v>414</v>
      </c>
      <c r="I48" t="s">
        <v>415</v>
      </c>
      <c r="N48" t="s">
        <v>416</v>
      </c>
      <c r="O48" t="s">
        <v>417</v>
      </c>
      <c r="P48" t="s">
        <v>156</v>
      </c>
      <c r="Q48" t="s">
        <v>92</v>
      </c>
      <c r="T48">
        <v>1</v>
      </c>
      <c r="U48" t="s">
        <v>165</v>
      </c>
      <c r="V48" t="s">
        <v>165</v>
      </c>
      <c r="W48" t="s">
        <v>166</v>
      </c>
      <c r="X48" t="s">
        <v>165</v>
      </c>
      <c r="Y48" t="s">
        <v>94</v>
      </c>
      <c r="Z48" t="s">
        <v>108</v>
      </c>
      <c r="AA48" t="s">
        <v>174</v>
      </c>
      <c r="AB48">
        <v>10</v>
      </c>
      <c r="AC48">
        <v>0</v>
      </c>
      <c r="AD48">
        <v>0</v>
      </c>
      <c r="AE48">
        <v>90</v>
      </c>
      <c r="AF48" t="s">
        <v>99</v>
      </c>
      <c r="AG48" t="s">
        <v>100</v>
      </c>
      <c r="AH48" t="s">
        <v>170</v>
      </c>
      <c r="AI48" t="s">
        <v>171</v>
      </c>
      <c r="AJ48" t="s">
        <v>172</v>
      </c>
      <c r="AK48" t="s">
        <v>272</v>
      </c>
      <c r="AL48">
        <v>7</v>
      </c>
      <c r="AM48" t="s">
        <v>195</v>
      </c>
      <c r="AN48">
        <v>10</v>
      </c>
      <c r="AO48">
        <v>0</v>
      </c>
      <c r="AP48">
        <v>0</v>
      </c>
      <c r="AQ48">
        <v>90</v>
      </c>
      <c r="AR48" t="s">
        <v>105</v>
      </c>
      <c r="AS48" t="s">
        <v>199</v>
      </c>
      <c r="AW48">
        <f t="shared" si="7"/>
        <v>1</v>
      </c>
      <c r="AX48">
        <f t="shared" si="8"/>
        <v>1</v>
      </c>
      <c r="AY48">
        <f t="shared" si="9"/>
        <v>1</v>
      </c>
      <c r="AZ48">
        <f t="shared" si="10"/>
        <v>1</v>
      </c>
      <c r="BA48">
        <f t="shared" si="11"/>
        <v>1</v>
      </c>
      <c r="BB48">
        <f>SUM(AW48:BA48)</f>
        <v>5</v>
      </c>
      <c r="BC48" t="s">
        <v>272</v>
      </c>
      <c r="BE48">
        <f>MATCH(U49,{"Strongly disagree";"Disagree";"Somewhat disagree";"Neither agree nor disagree";"Somewhat agree";"Agree";"Strongly agree"},0)</f>
        <v>2</v>
      </c>
      <c r="BF48">
        <f>MATCH(W49,{"Strongly disagree";"Disagree";"Somewhat disagree";"Neither agree nor disagree";"Somewhat agree";"Agree";"Strongly agree"},0)</f>
        <v>6</v>
      </c>
      <c r="BG48">
        <f>MATCH(Y49,{"Strongly disagree";"Disagree";"Somewhat disagree";"Neither agree nor disagree";"Somewhat agree";"Agree";"Strongly agree"},0)</f>
        <v>2</v>
      </c>
      <c r="BI48">
        <f t="shared" si="1"/>
        <v>0.16666666666666666</v>
      </c>
      <c r="BJ48">
        <f t="shared" si="2"/>
        <v>0.83333333333333337</v>
      </c>
      <c r="BK48">
        <f t="shared" si="3"/>
        <v>0.16666666666666666</v>
      </c>
      <c r="BP48">
        <f t="shared" si="14"/>
        <v>0.16666666666666669</v>
      </c>
      <c r="BQ48">
        <f t="shared" si="15"/>
        <v>0.16666666666666666</v>
      </c>
      <c r="BR48">
        <f t="shared" si="5"/>
        <v>0.77500000000000002</v>
      </c>
      <c r="BS48">
        <f t="shared" si="12"/>
        <v>0.15</v>
      </c>
      <c r="BT48">
        <f>MATCH(LOWER(CLEAN(TRIM(AR49))),{"male";"female"},0)-1</f>
        <v>1</v>
      </c>
      <c r="BU48">
        <v>5</v>
      </c>
      <c r="BV48">
        <v>4</v>
      </c>
      <c r="BW48">
        <f>CHOOSE(
    MATCH(
        LOWER(CLEAN(TRIM(AS49))),
        {"bachelor - graduated";"bachalor - second year";"bachelor - third year";"masters - second year";"masters - first year";"master - graduated";"bachalor - first year";"bachelor - fourth year";"doctoral degree - phd or equivalent"},
        0
    ),
    16,14,15,18,17,18,13,16,21
)</f>
        <v>18</v>
      </c>
      <c r="BX48">
        <f t="shared" si="13"/>
        <v>0.25</v>
      </c>
      <c r="BY48">
        <v>10</v>
      </c>
      <c r="BZ48">
        <f t="shared" si="6"/>
        <v>1</v>
      </c>
    </row>
    <row r="49" spans="1:78" x14ac:dyDescent="0.2">
      <c r="A49" t="s">
        <v>418</v>
      </c>
      <c r="B49" t="s">
        <v>419</v>
      </c>
      <c r="C49" t="s">
        <v>48</v>
      </c>
      <c r="D49" t="s">
        <v>420</v>
      </c>
      <c r="E49" t="s">
        <v>84</v>
      </c>
      <c r="F49" t="s">
        <v>421</v>
      </c>
      <c r="G49" t="s">
        <v>86</v>
      </c>
      <c r="H49" t="s">
        <v>422</v>
      </c>
      <c r="I49" t="s">
        <v>423</v>
      </c>
      <c r="N49" t="s">
        <v>424</v>
      </c>
      <c r="O49" t="s">
        <v>425</v>
      </c>
      <c r="P49" t="s">
        <v>156</v>
      </c>
      <c r="Q49" t="s">
        <v>92</v>
      </c>
      <c r="T49">
        <v>1</v>
      </c>
      <c r="U49" t="s">
        <v>167</v>
      </c>
      <c r="V49" t="s">
        <v>237</v>
      </c>
      <c r="W49" t="s">
        <v>93</v>
      </c>
      <c r="X49" t="s">
        <v>167</v>
      </c>
      <c r="Y49" t="s">
        <v>167</v>
      </c>
      <c r="Z49" t="s">
        <v>108</v>
      </c>
      <c r="AA49" t="s">
        <v>195</v>
      </c>
      <c r="AB49">
        <v>20</v>
      </c>
      <c r="AC49">
        <v>0</v>
      </c>
      <c r="AD49">
        <v>10</v>
      </c>
      <c r="AE49">
        <v>70</v>
      </c>
      <c r="AF49" t="s">
        <v>99</v>
      </c>
      <c r="AG49" t="s">
        <v>100</v>
      </c>
      <c r="AH49" t="s">
        <v>170</v>
      </c>
      <c r="AI49" t="s">
        <v>171</v>
      </c>
      <c r="AJ49" t="s">
        <v>172</v>
      </c>
      <c r="AK49" t="s">
        <v>173</v>
      </c>
      <c r="AL49">
        <v>7</v>
      </c>
      <c r="AM49" t="s">
        <v>176</v>
      </c>
      <c r="AN49">
        <v>30</v>
      </c>
      <c r="AO49">
        <v>0</v>
      </c>
      <c r="AP49">
        <v>0</v>
      </c>
      <c r="AQ49">
        <v>30</v>
      </c>
      <c r="AR49" t="s">
        <v>198</v>
      </c>
      <c r="AS49" t="s">
        <v>326</v>
      </c>
      <c r="AW49">
        <f t="shared" si="7"/>
        <v>1</v>
      </c>
      <c r="AX49">
        <f t="shared" si="8"/>
        <v>1</v>
      </c>
      <c r="AY49">
        <f t="shared" si="9"/>
        <v>1</v>
      </c>
      <c r="AZ49">
        <f t="shared" si="10"/>
        <v>1</v>
      </c>
      <c r="BA49">
        <f t="shared" si="11"/>
        <v>1</v>
      </c>
      <c r="BB49">
        <f>SUM(AW49:BA49)</f>
        <v>5</v>
      </c>
      <c r="BC49" t="s">
        <v>173</v>
      </c>
      <c r="BE49">
        <f>MATCH(U50,{"Strongly disagree";"Disagree";"Somewhat disagree";"Neither agree nor disagree";"Somewhat agree";"Agree";"Strongly agree"},0)</f>
        <v>5</v>
      </c>
      <c r="BF49">
        <f>MATCH(W50,{"Strongly disagree";"Disagree";"Somewhat disagree";"Neither agree nor disagree";"Somewhat agree";"Agree";"Strongly agree"},0)</f>
        <v>3</v>
      </c>
      <c r="BG49">
        <f>MATCH(Y50,{"Strongly disagree";"Disagree";"Somewhat disagree";"Neither agree nor disagree";"Somewhat agree";"Agree";"Strongly agree"},0)</f>
        <v>6</v>
      </c>
      <c r="BI49">
        <f t="shared" si="1"/>
        <v>0.66666666666666663</v>
      </c>
      <c r="BJ49">
        <f t="shared" si="2"/>
        <v>0.33333333333333331</v>
      </c>
      <c r="BK49">
        <f t="shared" si="3"/>
        <v>0.83333333333333337</v>
      </c>
      <c r="BP49">
        <f t="shared" si="14"/>
        <v>0.66666666666666663</v>
      </c>
      <c r="BQ49">
        <f t="shared" si="15"/>
        <v>0.7222222222222221</v>
      </c>
      <c r="BR49">
        <f t="shared" si="5"/>
        <v>0.71250000000000002</v>
      </c>
      <c r="BS49">
        <f t="shared" si="12"/>
        <v>0.625</v>
      </c>
      <c r="BT49">
        <f>MATCH(LOWER(CLEAN(TRIM(AR50))),{"male";"female"},0)-1</f>
        <v>1</v>
      </c>
      <c r="BU49">
        <v>4</v>
      </c>
      <c r="BV49">
        <v>3</v>
      </c>
      <c r="BW49">
        <f>CHOOSE(
    MATCH(
        LOWER(CLEAN(TRIM(AS50))),
        {"bachelor - graduated";"bachalor - second year";"bachelor - third year";"masters - second year";"masters - first year";"master - graduated";"bachalor - first year";"bachelor - fourth year";"doctoral degree - phd or equivalent"},
        0
    ),
    16,14,15,18,17,18,13,16,21
)</f>
        <v>18</v>
      </c>
      <c r="BX49">
        <f t="shared" si="13"/>
        <v>-12.75</v>
      </c>
      <c r="BY49">
        <v>5</v>
      </c>
      <c r="BZ49">
        <f t="shared" si="6"/>
        <v>1</v>
      </c>
    </row>
    <row r="50" spans="1:78" x14ac:dyDescent="0.2">
      <c r="A50" t="s">
        <v>432</v>
      </c>
      <c r="B50" t="s">
        <v>433</v>
      </c>
      <c r="C50" t="s">
        <v>48</v>
      </c>
      <c r="D50" t="s">
        <v>434</v>
      </c>
      <c r="E50" t="s">
        <v>84</v>
      </c>
      <c r="F50" t="s">
        <v>435</v>
      </c>
      <c r="G50" t="s">
        <v>86</v>
      </c>
      <c r="H50" t="s">
        <v>436</v>
      </c>
      <c r="I50" t="s">
        <v>437</v>
      </c>
      <c r="N50" t="s">
        <v>438</v>
      </c>
      <c r="O50" t="s">
        <v>439</v>
      </c>
      <c r="P50" t="s">
        <v>156</v>
      </c>
      <c r="Q50" t="s">
        <v>92</v>
      </c>
      <c r="T50">
        <v>1</v>
      </c>
      <c r="U50" t="s">
        <v>237</v>
      </c>
      <c r="V50" t="s">
        <v>93</v>
      </c>
      <c r="W50" t="s">
        <v>133</v>
      </c>
      <c r="X50" t="s">
        <v>133</v>
      </c>
      <c r="Y50" t="s">
        <v>93</v>
      </c>
      <c r="Z50" t="s">
        <v>108</v>
      </c>
      <c r="AA50" t="s">
        <v>174</v>
      </c>
      <c r="AB50">
        <v>10</v>
      </c>
      <c r="AC50">
        <v>20</v>
      </c>
      <c r="AD50">
        <v>35</v>
      </c>
      <c r="AE50">
        <v>35</v>
      </c>
      <c r="AF50" t="s">
        <v>169</v>
      </c>
      <c r="AG50" t="s">
        <v>100</v>
      </c>
      <c r="AH50" t="s">
        <v>170</v>
      </c>
      <c r="AI50" t="s">
        <v>171</v>
      </c>
      <c r="AJ50" t="s">
        <v>172</v>
      </c>
      <c r="AK50" t="s">
        <v>197</v>
      </c>
      <c r="AL50">
        <v>-6</v>
      </c>
      <c r="AM50" t="s">
        <v>134</v>
      </c>
      <c r="AN50">
        <v>0</v>
      </c>
      <c r="AO50">
        <v>30</v>
      </c>
      <c r="AP50">
        <v>40</v>
      </c>
      <c r="AQ50">
        <v>30</v>
      </c>
      <c r="AR50" t="s">
        <v>198</v>
      </c>
      <c r="AS50" t="s">
        <v>199</v>
      </c>
      <c r="AW50">
        <f t="shared" si="7"/>
        <v>0</v>
      </c>
      <c r="AX50">
        <f t="shared" si="8"/>
        <v>1</v>
      </c>
      <c r="AY50">
        <f t="shared" si="9"/>
        <v>1</v>
      </c>
      <c r="AZ50">
        <f t="shared" si="10"/>
        <v>1</v>
      </c>
      <c r="BA50">
        <f t="shared" si="11"/>
        <v>1</v>
      </c>
      <c r="BB50">
        <f>SUM(AW50:BA50)</f>
        <v>4</v>
      </c>
      <c r="BC50" t="s">
        <v>197</v>
      </c>
      <c r="BE50">
        <f>MATCH(U51,{"Strongly disagree";"Disagree";"Somewhat disagree";"Neither agree nor disagree";"Somewhat agree";"Agree";"Strongly agree"},0)</f>
        <v>3</v>
      </c>
      <c r="BF50">
        <f>MATCH(W51,{"Strongly disagree";"Disagree";"Somewhat disagree";"Neither agree nor disagree";"Somewhat agree";"Agree";"Strongly agree"},0)</f>
        <v>3</v>
      </c>
      <c r="BG50">
        <f>MATCH(Y51,{"Strongly disagree";"Disagree";"Somewhat disagree";"Neither agree nor disagree";"Somewhat agree";"Agree";"Strongly agree"},0)</f>
        <v>1</v>
      </c>
      <c r="BI50">
        <f t="shared" si="1"/>
        <v>0.33333333333333331</v>
      </c>
      <c r="BJ50">
        <f t="shared" si="2"/>
        <v>0.33333333333333331</v>
      </c>
      <c r="BK50">
        <f t="shared" si="3"/>
        <v>0</v>
      </c>
      <c r="BP50">
        <f t="shared" si="14"/>
        <v>0.5</v>
      </c>
      <c r="BQ50">
        <f t="shared" si="15"/>
        <v>0.33333333333333331</v>
      </c>
      <c r="BR50">
        <f t="shared" si="5"/>
        <v>0.48749999999999999</v>
      </c>
      <c r="BS50">
        <f t="shared" si="12"/>
        <v>0.35</v>
      </c>
      <c r="BT50">
        <f>MATCH(LOWER(CLEAN(TRIM(AR51))),{"male";"female"},0)-1</f>
        <v>1</v>
      </c>
      <c r="BU50">
        <v>3</v>
      </c>
      <c r="BV50">
        <v>1</v>
      </c>
      <c r="BW50">
        <f>CHOOSE(
    MATCH(
        LOWER(CLEAN(TRIM(AS51))),
        {"bachelor - graduated";"bachalor - second year";"bachelor - third year";"masters - second year";"masters - first year";"master - graduated";"bachalor - first year";"bachelor - fourth year";"doctoral degree - phd or equivalent"},
        0
    ),
    16,14,15,18,17,18,13,16,21
)</f>
        <v>18</v>
      </c>
      <c r="BX50">
        <f t="shared" si="13"/>
        <v>6.25</v>
      </c>
      <c r="BY50">
        <v>2</v>
      </c>
      <c r="BZ50">
        <f t="shared" si="6"/>
        <v>1</v>
      </c>
    </row>
    <row r="51" spans="1:78" x14ac:dyDescent="0.2">
      <c r="A51" t="s">
        <v>440</v>
      </c>
      <c r="B51" t="s">
        <v>433</v>
      </c>
      <c r="C51" t="s">
        <v>48</v>
      </c>
      <c r="D51" t="s">
        <v>441</v>
      </c>
      <c r="E51" t="s">
        <v>84</v>
      </c>
      <c r="F51" t="s">
        <v>442</v>
      </c>
      <c r="G51" t="s">
        <v>86</v>
      </c>
      <c r="H51" t="s">
        <v>443</v>
      </c>
      <c r="I51" t="s">
        <v>444</v>
      </c>
      <c r="N51" t="s">
        <v>445</v>
      </c>
      <c r="O51" t="s">
        <v>446</v>
      </c>
      <c r="P51" t="s">
        <v>156</v>
      </c>
      <c r="Q51" t="s">
        <v>92</v>
      </c>
      <c r="T51">
        <v>1</v>
      </c>
      <c r="U51" t="s">
        <v>133</v>
      </c>
      <c r="V51" t="s">
        <v>93</v>
      </c>
      <c r="W51" t="s">
        <v>133</v>
      </c>
      <c r="X51" t="s">
        <v>167</v>
      </c>
      <c r="Y51" t="s">
        <v>166</v>
      </c>
      <c r="Z51" t="s">
        <v>108</v>
      </c>
      <c r="AA51" t="s">
        <v>518</v>
      </c>
      <c r="AB51">
        <v>40</v>
      </c>
      <c r="AC51">
        <v>10</v>
      </c>
      <c r="AD51">
        <v>25</v>
      </c>
      <c r="AE51">
        <v>25</v>
      </c>
      <c r="AF51" t="s">
        <v>135</v>
      </c>
      <c r="AG51" t="s">
        <v>100</v>
      </c>
      <c r="AH51" t="s">
        <v>170</v>
      </c>
      <c r="AI51" t="s">
        <v>137</v>
      </c>
      <c r="AJ51" t="s">
        <v>172</v>
      </c>
      <c r="AK51" t="s">
        <v>543</v>
      </c>
      <c r="AL51">
        <v>13</v>
      </c>
      <c r="AM51" t="s">
        <v>96</v>
      </c>
      <c r="AN51">
        <v>50</v>
      </c>
      <c r="AO51">
        <v>0</v>
      </c>
      <c r="AP51">
        <v>10</v>
      </c>
      <c r="AQ51">
        <v>40</v>
      </c>
      <c r="AR51" t="s">
        <v>198</v>
      </c>
      <c r="AS51" t="s">
        <v>199</v>
      </c>
      <c r="AW51">
        <f t="shared" si="7"/>
        <v>0</v>
      </c>
      <c r="AX51">
        <f t="shared" si="8"/>
        <v>1</v>
      </c>
      <c r="AY51">
        <f t="shared" si="9"/>
        <v>1</v>
      </c>
      <c r="AZ51">
        <f t="shared" si="10"/>
        <v>0</v>
      </c>
      <c r="BA51">
        <f t="shared" si="11"/>
        <v>1</v>
      </c>
      <c r="BB51">
        <f>SUM(AW51:BA51)</f>
        <v>3</v>
      </c>
      <c r="BC51" t="s">
        <v>543</v>
      </c>
      <c r="BE51">
        <f>MATCH(U52,{"Strongly disagree";"Disagree";"Somewhat disagree";"Neither agree nor disagree";"Somewhat agree";"Agree";"Strongly agree"},0)</f>
        <v>5</v>
      </c>
      <c r="BF51">
        <f>MATCH(W52,{"Strongly disagree";"Disagree";"Somewhat disagree";"Neither agree nor disagree";"Somewhat agree";"Agree";"Strongly agree"},0)</f>
        <v>2</v>
      </c>
      <c r="BG51">
        <f>MATCH(Y52,{"Strongly disagree";"Disagree";"Somewhat disagree";"Neither agree nor disagree";"Somewhat agree";"Agree";"Strongly agree"},0)</f>
        <v>5</v>
      </c>
      <c r="BI51">
        <f t="shared" si="1"/>
        <v>0.66666666666666663</v>
      </c>
      <c r="BJ51">
        <f t="shared" si="2"/>
        <v>0.16666666666666666</v>
      </c>
      <c r="BK51">
        <f t="shared" si="3"/>
        <v>0.66666666666666663</v>
      </c>
      <c r="BP51">
        <f t="shared" si="14"/>
        <v>0.74999999999999989</v>
      </c>
      <c r="BQ51">
        <f t="shared" si="15"/>
        <v>0.7222222222222221</v>
      </c>
      <c r="BR51">
        <f t="shared" si="5"/>
        <v>1</v>
      </c>
      <c r="BT51">
        <f>MATCH(LOWER(CLEAN(TRIM(AR52))),{"male";"female"},0)-1</f>
        <v>0</v>
      </c>
      <c r="BU51">
        <v>1</v>
      </c>
      <c r="BV51">
        <v>2</v>
      </c>
      <c r="BW51">
        <f>CHOOSE(
    MATCH(
        LOWER(CLEAN(TRIM(AS52))),
        {"bachelor - graduated";"bachalor - second year";"bachelor - third year";"masters - second year";"masters - first year";"master - graduated";"bachalor - first year";"bachelor - fourth year";"doctoral degree - phd or equivalent"},
        0
    ),
    16,14,15,18,17,18,13,16,21
)</f>
        <v>16</v>
      </c>
      <c r="BX51">
        <f t="shared" si="13"/>
        <v>-11.75</v>
      </c>
      <c r="BY51">
        <v>6</v>
      </c>
      <c r="BZ51">
        <f t="shared" si="6"/>
        <v>1</v>
      </c>
    </row>
    <row r="52" spans="1:78" x14ac:dyDescent="0.2">
      <c r="A52" t="s">
        <v>465</v>
      </c>
      <c r="B52" t="s">
        <v>466</v>
      </c>
      <c r="C52" t="s">
        <v>48</v>
      </c>
      <c r="D52" t="s">
        <v>467</v>
      </c>
      <c r="E52" t="s">
        <v>84</v>
      </c>
      <c r="F52" t="s">
        <v>468</v>
      </c>
      <c r="G52" t="s">
        <v>86</v>
      </c>
      <c r="H52" t="s">
        <v>469</v>
      </c>
      <c r="I52" t="s">
        <v>470</v>
      </c>
      <c r="N52" t="s">
        <v>126</v>
      </c>
      <c r="O52" t="s">
        <v>127</v>
      </c>
      <c r="P52" t="s">
        <v>156</v>
      </c>
      <c r="Q52" t="s">
        <v>92</v>
      </c>
      <c r="T52">
        <v>1</v>
      </c>
      <c r="U52" t="s">
        <v>237</v>
      </c>
      <c r="V52" t="s">
        <v>237</v>
      </c>
      <c r="W52" t="s">
        <v>167</v>
      </c>
      <c r="X52" t="s">
        <v>167</v>
      </c>
      <c r="Y52" t="s">
        <v>237</v>
      </c>
      <c r="Z52" t="s">
        <v>108</v>
      </c>
      <c r="AA52" t="s">
        <v>218</v>
      </c>
      <c r="AB52">
        <v>0</v>
      </c>
      <c r="AC52">
        <v>0</v>
      </c>
      <c r="AD52">
        <v>0</v>
      </c>
      <c r="AE52">
        <v>100</v>
      </c>
      <c r="AF52" t="s">
        <v>137</v>
      </c>
      <c r="AG52" t="s">
        <v>100</v>
      </c>
      <c r="AH52" t="s">
        <v>137</v>
      </c>
      <c r="AI52" t="s">
        <v>519</v>
      </c>
      <c r="AJ52" t="s">
        <v>137</v>
      </c>
      <c r="AK52" t="s">
        <v>104</v>
      </c>
      <c r="AL52">
        <v>-5</v>
      </c>
      <c r="AM52" t="s">
        <v>134</v>
      </c>
      <c r="AN52">
        <v>0</v>
      </c>
      <c r="AO52">
        <v>0</v>
      </c>
      <c r="AP52">
        <v>0</v>
      </c>
      <c r="AQ52">
        <v>100</v>
      </c>
      <c r="AR52" t="s">
        <v>105</v>
      </c>
      <c r="AS52" t="s">
        <v>106</v>
      </c>
      <c r="AW52">
        <f t="shared" si="7"/>
        <v>0</v>
      </c>
      <c r="AX52">
        <f t="shared" si="8"/>
        <v>1</v>
      </c>
      <c r="AY52">
        <f t="shared" si="9"/>
        <v>0</v>
      </c>
      <c r="AZ52">
        <f t="shared" si="10"/>
        <v>0</v>
      </c>
      <c r="BA52">
        <f t="shared" si="11"/>
        <v>0</v>
      </c>
      <c r="BB52">
        <f>SUM(AW52:BA52)</f>
        <v>1</v>
      </c>
      <c r="BC52" t="s">
        <v>104</v>
      </c>
      <c r="BE52">
        <f>MATCH(U53,{"Strongly disagree";"Disagree";"Somewhat disagree";"Neither agree nor disagree";"Somewhat agree";"Agree";"Strongly agree"},0)</f>
        <v>6</v>
      </c>
      <c r="BF52">
        <f>MATCH(W53,{"Strongly disagree";"Disagree";"Somewhat disagree";"Neither agree nor disagree";"Somewhat agree";"Agree";"Strongly agree"},0)</f>
        <v>5</v>
      </c>
      <c r="BG52">
        <f>MATCH(Y53,{"Strongly disagree";"Disagree";"Somewhat disagree";"Neither agree nor disagree";"Somewhat agree";"Agree";"Strongly agree"},0)</f>
        <v>2</v>
      </c>
      <c r="BI52">
        <f t="shared" si="1"/>
        <v>0.83333333333333337</v>
      </c>
      <c r="BJ52">
        <f t="shared" si="2"/>
        <v>0.66666666666666663</v>
      </c>
      <c r="BK52">
        <f t="shared" si="3"/>
        <v>0.16666666666666666</v>
      </c>
      <c r="BP52">
        <f t="shared" si="14"/>
        <v>0.58333333333333348</v>
      </c>
      <c r="BQ52">
        <f t="shared" si="15"/>
        <v>0.44444444444444453</v>
      </c>
      <c r="BR52">
        <f t="shared" si="5"/>
        <v>0.1875</v>
      </c>
      <c r="BT52">
        <f>MATCH(LOWER(CLEAN(TRIM(AR53))),{"male";"female"},0)-1</f>
        <v>1</v>
      </c>
      <c r="BU52">
        <v>5</v>
      </c>
      <c r="BV52">
        <v>3</v>
      </c>
      <c r="BW52">
        <f>CHOOSE(
    MATCH(
        LOWER(CLEAN(TRIM(AS53))),
        {"bachelor - graduated";"bachalor - second year";"bachelor - third year";"masters - second year";"masters - first year";"master - graduated";"bachalor - first year";"bachelor - fourth year";"doctoral degree - phd or equivalent"},
        0
    ),
    16,14,15,18,17,18,13,16,21
)</f>
        <v>18</v>
      </c>
      <c r="BX52">
        <f t="shared" si="13"/>
        <v>0.25</v>
      </c>
      <c r="BZ52">
        <f t="shared" si="6"/>
        <v>1</v>
      </c>
    </row>
    <row r="53" spans="1:78" x14ac:dyDescent="0.2">
      <c r="A53" t="s">
        <v>471</v>
      </c>
      <c r="B53" t="s">
        <v>472</v>
      </c>
      <c r="C53" t="s">
        <v>48</v>
      </c>
      <c r="D53" t="s">
        <v>473</v>
      </c>
      <c r="E53" t="s">
        <v>84</v>
      </c>
      <c r="F53" t="s">
        <v>474</v>
      </c>
      <c r="G53" t="s">
        <v>86</v>
      </c>
      <c r="H53" t="s">
        <v>475</v>
      </c>
      <c r="I53" t="s">
        <v>476</v>
      </c>
      <c r="N53" t="s">
        <v>477</v>
      </c>
      <c r="O53" t="s">
        <v>478</v>
      </c>
      <c r="P53" t="s">
        <v>156</v>
      </c>
      <c r="Q53" t="s">
        <v>92</v>
      </c>
      <c r="T53">
        <v>1</v>
      </c>
      <c r="U53" t="s">
        <v>93</v>
      </c>
      <c r="V53" t="s">
        <v>165</v>
      </c>
      <c r="W53" t="s">
        <v>237</v>
      </c>
      <c r="X53" t="s">
        <v>93</v>
      </c>
      <c r="Y53" t="s">
        <v>167</v>
      </c>
      <c r="Z53" t="s">
        <v>95</v>
      </c>
      <c r="AB53">
        <v>80</v>
      </c>
      <c r="AC53">
        <v>0</v>
      </c>
      <c r="AD53">
        <v>5</v>
      </c>
      <c r="AE53">
        <v>15</v>
      </c>
      <c r="AF53" t="s">
        <v>99</v>
      </c>
      <c r="AG53" t="s">
        <v>100</v>
      </c>
      <c r="AH53" t="s">
        <v>170</v>
      </c>
      <c r="AI53" t="s">
        <v>171</v>
      </c>
      <c r="AJ53" t="s">
        <v>172</v>
      </c>
      <c r="AK53" t="s">
        <v>197</v>
      </c>
      <c r="AL53">
        <v>7</v>
      </c>
      <c r="AR53" t="s">
        <v>198</v>
      </c>
      <c r="AS53" t="s">
        <v>326</v>
      </c>
      <c r="AW53">
        <f t="shared" si="7"/>
        <v>1</v>
      </c>
      <c r="AX53">
        <f t="shared" si="8"/>
        <v>1</v>
      </c>
      <c r="AY53">
        <f t="shared" si="9"/>
        <v>1</v>
      </c>
      <c r="AZ53">
        <f t="shared" si="10"/>
        <v>1</v>
      </c>
      <c r="BA53">
        <f t="shared" si="11"/>
        <v>1</v>
      </c>
      <c r="BB53">
        <f>SUM(AW53:BA53)</f>
        <v>5</v>
      </c>
      <c r="BC53" t="s">
        <v>197</v>
      </c>
      <c r="BE53">
        <f>MATCH(U54,{"Strongly disagree";"Disagree";"Somewhat disagree";"Neither agree nor disagree";"Somewhat agree";"Agree";"Strongly agree"},0)</f>
        <v>6</v>
      </c>
      <c r="BF53">
        <f>MATCH(W54,{"Strongly disagree";"Disagree";"Somewhat disagree";"Neither agree nor disagree";"Somewhat agree";"Agree";"Strongly agree"},0)</f>
        <v>3</v>
      </c>
      <c r="BG53">
        <f>MATCH(Y54,{"Strongly disagree";"Disagree";"Somewhat disagree";"Neither agree nor disagree";"Somewhat agree";"Agree";"Strongly agree"},0)</f>
        <v>3</v>
      </c>
      <c r="BI53">
        <f t="shared" si="1"/>
        <v>0.83333333333333337</v>
      </c>
      <c r="BJ53">
        <f t="shared" si="2"/>
        <v>0.33333333333333331</v>
      </c>
      <c r="BK53">
        <f t="shared" si="3"/>
        <v>0.33333333333333331</v>
      </c>
      <c r="BP53">
        <f t="shared" si="14"/>
        <v>0.75000000000000011</v>
      </c>
      <c r="BQ53">
        <f t="shared" si="15"/>
        <v>0.61111111111111116</v>
      </c>
      <c r="BR53">
        <f t="shared" si="5"/>
        <v>0.42499999999999999</v>
      </c>
      <c r="BS53">
        <f t="shared" si="12"/>
        <v>0.45</v>
      </c>
      <c r="BT53">
        <f>MATCH(LOWER(CLEAN(TRIM(AR54))),{"male";"female"},0)-1</f>
        <v>1</v>
      </c>
      <c r="BU53">
        <v>3</v>
      </c>
      <c r="BV53">
        <v>3</v>
      </c>
      <c r="BW53">
        <f>CHOOSE(
    MATCH(
        LOWER(CLEAN(TRIM(AS54))),
        {"bachelor - graduated";"bachalor - second year";"bachelor - third year";"masters - second year";"masters - first year";"master - graduated";"bachalor - first year";"bachelor - fourth year";"doctoral degree - phd or equivalent"},
        0
    ),
    16,14,15,18,17,18,13,16,21
)</f>
        <v>18</v>
      </c>
      <c r="BX53">
        <f t="shared" si="13"/>
        <v>0.25</v>
      </c>
      <c r="BY53">
        <v>3</v>
      </c>
      <c r="BZ53">
        <f t="shared" si="6"/>
        <v>1</v>
      </c>
    </row>
    <row r="54" spans="1:78" x14ac:dyDescent="0.2">
      <c r="A54" t="s">
        <v>504</v>
      </c>
      <c r="B54" t="s">
        <v>505</v>
      </c>
      <c r="C54" t="s">
        <v>48</v>
      </c>
      <c r="D54" t="s">
        <v>506</v>
      </c>
      <c r="E54" t="s">
        <v>84</v>
      </c>
      <c r="F54" t="s">
        <v>507</v>
      </c>
      <c r="G54" t="s">
        <v>86</v>
      </c>
      <c r="H54" t="s">
        <v>508</v>
      </c>
      <c r="I54" t="s">
        <v>509</v>
      </c>
      <c r="N54" t="s">
        <v>445</v>
      </c>
      <c r="O54" t="s">
        <v>446</v>
      </c>
      <c r="P54" t="s">
        <v>156</v>
      </c>
      <c r="Q54" t="s">
        <v>92</v>
      </c>
      <c r="T54">
        <v>1</v>
      </c>
      <c r="U54" t="s">
        <v>93</v>
      </c>
      <c r="V54" t="s">
        <v>93</v>
      </c>
      <c r="W54" t="s">
        <v>133</v>
      </c>
      <c r="X54" t="s">
        <v>93</v>
      </c>
      <c r="Y54" t="s">
        <v>133</v>
      </c>
      <c r="Z54" t="s">
        <v>108</v>
      </c>
      <c r="AA54" t="s">
        <v>194</v>
      </c>
      <c r="AB54">
        <v>40</v>
      </c>
      <c r="AC54">
        <v>20</v>
      </c>
      <c r="AD54">
        <v>30</v>
      </c>
      <c r="AE54">
        <v>10</v>
      </c>
      <c r="AF54" t="s">
        <v>169</v>
      </c>
      <c r="AG54" t="s">
        <v>100</v>
      </c>
      <c r="AH54" t="s">
        <v>196</v>
      </c>
      <c r="AI54" t="s">
        <v>171</v>
      </c>
      <c r="AJ54" t="s">
        <v>172</v>
      </c>
      <c r="AK54" t="s">
        <v>197</v>
      </c>
      <c r="AL54">
        <v>7</v>
      </c>
      <c r="AM54" t="s">
        <v>96</v>
      </c>
      <c r="AN54">
        <v>50</v>
      </c>
      <c r="AO54">
        <v>0</v>
      </c>
      <c r="AP54">
        <v>20</v>
      </c>
      <c r="AQ54">
        <v>30</v>
      </c>
      <c r="AR54" t="s">
        <v>198</v>
      </c>
      <c r="AS54" t="s">
        <v>199</v>
      </c>
      <c r="AW54">
        <f t="shared" si="7"/>
        <v>0</v>
      </c>
      <c r="AX54">
        <f t="shared" si="8"/>
        <v>1</v>
      </c>
      <c r="AY54">
        <f t="shared" si="9"/>
        <v>0</v>
      </c>
      <c r="AZ54">
        <f t="shared" si="10"/>
        <v>1</v>
      </c>
      <c r="BA54">
        <f t="shared" si="11"/>
        <v>1</v>
      </c>
      <c r="BB54">
        <f>SUM(AW54:BA54)</f>
        <v>3</v>
      </c>
      <c r="BC54" t="s">
        <v>197</v>
      </c>
      <c r="BE54">
        <f>MATCH(U55,{"Strongly disagree";"Disagree";"Somewhat disagree";"Neither agree nor disagree";"Somewhat agree";"Agree";"Strongly agree"},0)</f>
        <v>6</v>
      </c>
      <c r="BF54">
        <f>MATCH(W55,{"Strongly disagree";"Disagree";"Somewhat disagree";"Neither agree nor disagree";"Somewhat agree";"Agree";"Strongly agree"},0)</f>
        <v>3</v>
      </c>
      <c r="BG54">
        <f>MATCH(Y55,{"Strongly disagree";"Disagree";"Somewhat disagree";"Neither agree nor disagree";"Somewhat agree";"Agree";"Strongly agree"},0)</f>
        <v>6</v>
      </c>
      <c r="BI54">
        <f t="shared" si="1"/>
        <v>0.83333333333333337</v>
      </c>
      <c r="BJ54">
        <f t="shared" si="2"/>
        <v>0.33333333333333331</v>
      </c>
      <c r="BK54">
        <f t="shared" si="3"/>
        <v>0.83333333333333337</v>
      </c>
      <c r="BP54">
        <f t="shared" si="14"/>
        <v>0.75000000000000011</v>
      </c>
      <c r="BQ54">
        <f t="shared" si="15"/>
        <v>0.77777777777777779</v>
      </c>
      <c r="BR54">
        <f t="shared" si="5"/>
        <v>0.625</v>
      </c>
      <c r="BS54">
        <f t="shared" si="12"/>
        <v>0.5</v>
      </c>
      <c r="BT54">
        <f>MATCH(LOWER(CLEAN(TRIM(AR55))),{"male";"female"},0)-1</f>
        <v>1</v>
      </c>
      <c r="BU54">
        <v>2</v>
      </c>
      <c r="BV54">
        <v>0</v>
      </c>
      <c r="BW54">
        <f>CHOOSE(
    MATCH(
        LOWER(CLEAN(TRIM(AS55))),
        {"bachelor - graduated";"bachalor - second year";"bachelor - third year";"masters - second year";"masters - first year";"master - graduated";"bachalor - first year";"bachelor - fourth year";"doctoral degree - phd or equivalent"},
        0
    ),
    16,14,15,18,17,18,13,16,21
)</f>
        <v>18</v>
      </c>
      <c r="BY54">
        <v>10</v>
      </c>
      <c r="BZ54">
        <f t="shared" si="6"/>
        <v>1</v>
      </c>
    </row>
    <row r="55" spans="1:78" x14ac:dyDescent="0.2">
      <c r="A55" t="s">
        <v>510</v>
      </c>
      <c r="B55" t="s">
        <v>511</v>
      </c>
      <c r="C55" t="s">
        <v>48</v>
      </c>
      <c r="D55" t="s">
        <v>512</v>
      </c>
      <c r="E55" t="s">
        <v>84</v>
      </c>
      <c r="F55" t="s">
        <v>513</v>
      </c>
      <c r="G55" t="s">
        <v>86</v>
      </c>
      <c r="H55" t="s">
        <v>514</v>
      </c>
      <c r="I55" t="s">
        <v>515</v>
      </c>
      <c r="N55" t="s">
        <v>516</v>
      </c>
      <c r="O55" t="s">
        <v>517</v>
      </c>
      <c r="P55" t="s">
        <v>156</v>
      </c>
      <c r="Q55" t="s">
        <v>92</v>
      </c>
      <c r="T55">
        <v>1</v>
      </c>
      <c r="U55" t="s">
        <v>93</v>
      </c>
      <c r="V55" t="s">
        <v>93</v>
      </c>
      <c r="W55" t="s">
        <v>133</v>
      </c>
      <c r="X55" t="s">
        <v>94</v>
      </c>
      <c r="Y55" t="s">
        <v>93</v>
      </c>
      <c r="Z55" t="s">
        <v>108</v>
      </c>
      <c r="AA55" t="s">
        <v>195</v>
      </c>
      <c r="AB55">
        <v>20</v>
      </c>
      <c r="AC55">
        <v>10</v>
      </c>
      <c r="AD55">
        <v>50</v>
      </c>
      <c r="AE55">
        <v>20</v>
      </c>
      <c r="AF55" t="s">
        <v>137</v>
      </c>
      <c r="AG55" t="s">
        <v>100</v>
      </c>
      <c r="AH55" t="s">
        <v>170</v>
      </c>
      <c r="AI55" t="s">
        <v>137</v>
      </c>
      <c r="AJ55" t="s">
        <v>137</v>
      </c>
      <c r="AK55" t="s">
        <v>367</v>
      </c>
      <c r="AM55" t="s">
        <v>84</v>
      </c>
      <c r="AN55">
        <v>100</v>
      </c>
      <c r="AO55">
        <v>0</v>
      </c>
      <c r="AP55">
        <v>0</v>
      </c>
      <c r="AQ55">
        <v>0</v>
      </c>
      <c r="AR55" t="s">
        <v>198</v>
      </c>
      <c r="AS55" t="s">
        <v>199</v>
      </c>
      <c r="AW55">
        <f t="shared" si="7"/>
        <v>0</v>
      </c>
      <c r="AX55">
        <f t="shared" si="8"/>
        <v>1</v>
      </c>
      <c r="AY55">
        <f t="shared" si="9"/>
        <v>1</v>
      </c>
      <c r="AZ55">
        <f t="shared" si="10"/>
        <v>0</v>
      </c>
      <c r="BA55">
        <f t="shared" si="11"/>
        <v>0</v>
      </c>
      <c r="BB55">
        <f>SUM(AW55:BA55)</f>
        <v>2</v>
      </c>
      <c r="BC55" t="s">
        <v>367</v>
      </c>
      <c r="BE55">
        <f>MATCH(U56,{"Strongly disagree";"Disagree";"Somewhat disagree";"Neither agree nor disagree";"Somewhat agree";"Agree";"Strongly agree"},0)</f>
        <v>4</v>
      </c>
      <c r="BF55">
        <f>MATCH(W56,{"Strongly disagree";"Disagree";"Somewhat disagree";"Neither agree nor disagree";"Somewhat agree";"Agree";"Strongly agree"},0)</f>
        <v>5</v>
      </c>
      <c r="BG55">
        <f>MATCH(Y56,{"Strongly disagree";"Disagree";"Somewhat disagree";"Neither agree nor disagree";"Somewhat agree";"Agree";"Strongly agree"},0)</f>
        <v>4</v>
      </c>
      <c r="BI55">
        <f t="shared" si="1"/>
        <v>0.5</v>
      </c>
      <c r="BJ55">
        <f t="shared" si="2"/>
        <v>0.66666666666666663</v>
      </c>
      <c r="BK55">
        <f t="shared" si="3"/>
        <v>0.5</v>
      </c>
      <c r="BP55">
        <f t="shared" si="14"/>
        <v>0.41666666666666669</v>
      </c>
      <c r="BQ55">
        <f t="shared" si="15"/>
        <v>0.44444444444444448</v>
      </c>
      <c r="BR55">
        <f t="shared" si="5"/>
        <v>0.53749999999999998</v>
      </c>
      <c r="BS55">
        <f>($BN$4*AN56+$BN$5*AO56+$BN$6*AP56)/100</f>
        <v>0.66249999999999998</v>
      </c>
      <c r="BT55">
        <f>MATCH(LOWER(CLEAN(TRIM(AR56))),{"male";"female"},0)-1</f>
        <v>1</v>
      </c>
      <c r="BU55">
        <v>4</v>
      </c>
      <c r="BV55">
        <v>3</v>
      </c>
      <c r="BW55">
        <f>CHOOSE(
    MATCH(
        LOWER(CLEAN(TRIM(AS56))),
        {"bachelor - graduated";"bachalor - second year";"bachelor - third year";"masters - second year";"masters - first year";"master - graduated";"bachalor - first year";"bachelor - fourth year";"doctoral degree - phd or equivalent"},
        0
    ),
    16,14,15,18,17,18,13,16,21
)</f>
        <v>16</v>
      </c>
      <c r="BY55">
        <v>4</v>
      </c>
      <c r="BZ55">
        <f t="shared" si="6"/>
        <v>1</v>
      </c>
    </row>
    <row r="56" spans="1:78" x14ac:dyDescent="0.2">
      <c r="A56" t="s">
        <v>520</v>
      </c>
      <c r="B56" t="s">
        <v>521</v>
      </c>
      <c r="C56" t="s">
        <v>48</v>
      </c>
      <c r="D56" t="s">
        <v>522</v>
      </c>
      <c r="E56" t="s">
        <v>84</v>
      </c>
      <c r="F56" t="s">
        <v>523</v>
      </c>
      <c r="G56" t="s">
        <v>86</v>
      </c>
      <c r="H56" t="s">
        <v>524</v>
      </c>
      <c r="I56" t="s">
        <v>525</v>
      </c>
      <c r="N56" t="s">
        <v>526</v>
      </c>
      <c r="O56" t="s">
        <v>527</v>
      </c>
      <c r="P56" t="s">
        <v>156</v>
      </c>
      <c r="Q56" t="s">
        <v>92</v>
      </c>
      <c r="T56">
        <v>1</v>
      </c>
      <c r="U56" t="s">
        <v>94</v>
      </c>
      <c r="V56" t="s">
        <v>133</v>
      </c>
      <c r="W56" t="s">
        <v>237</v>
      </c>
      <c r="X56" t="s">
        <v>93</v>
      </c>
      <c r="Y56" t="s">
        <v>94</v>
      </c>
      <c r="Z56" t="s">
        <v>108</v>
      </c>
      <c r="AA56" t="s">
        <v>455</v>
      </c>
      <c r="AB56">
        <v>25</v>
      </c>
      <c r="AC56">
        <v>30</v>
      </c>
      <c r="AD56">
        <v>25</v>
      </c>
      <c r="AE56">
        <v>20</v>
      </c>
      <c r="AF56" t="s">
        <v>99</v>
      </c>
      <c r="AG56" t="s">
        <v>100</v>
      </c>
      <c r="AH56" t="s">
        <v>170</v>
      </c>
      <c r="AI56" t="s">
        <v>171</v>
      </c>
      <c r="AJ56" t="s">
        <v>172</v>
      </c>
      <c r="AK56" t="s">
        <v>197</v>
      </c>
      <c r="AL56">
        <v>7</v>
      </c>
      <c r="AM56" t="s">
        <v>176</v>
      </c>
      <c r="AN56">
        <v>30</v>
      </c>
      <c r="AO56">
        <v>15</v>
      </c>
      <c r="AP56">
        <v>40</v>
      </c>
      <c r="AQ56">
        <v>10</v>
      </c>
      <c r="AR56" t="s">
        <v>198</v>
      </c>
      <c r="AS56" t="s">
        <v>106</v>
      </c>
      <c r="AW56">
        <f t="shared" ref="AW56" si="16">IF(TRIM(AF56)="5-year zero-coupon",1,0)</f>
        <v>0</v>
      </c>
      <c r="AX56">
        <f t="shared" si="8"/>
        <v>1</v>
      </c>
      <c r="AY56">
        <f t="shared" si="9"/>
        <v>1</v>
      </c>
      <c r="AZ56">
        <f t="shared" si="10"/>
        <v>1</v>
      </c>
      <c r="BA56">
        <f t="shared" si="11"/>
        <v>1</v>
      </c>
      <c r="BB56">
        <f>SUM(AW56:BA56)</f>
        <v>4</v>
      </c>
      <c r="BC56"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edoardo maira</cp:lastModifiedBy>
  <dcterms:created xsi:type="dcterms:W3CDTF">2025-11-21T12:13:08Z</dcterms:created>
  <dcterms:modified xsi:type="dcterms:W3CDTF">2025-11-30T11:15:47Z</dcterms:modified>
</cp:coreProperties>
</file>